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ata Science\Adv Excel\Project\"/>
    </mc:Choice>
  </mc:AlternateContent>
  <xr:revisionPtr revIDLastSave="0" documentId="13_ncr:1_{A55B1BA9-0003-4C39-B333-874741F3E7EC}" xr6:coauthVersionLast="47" xr6:coauthVersionMax="47" xr10:uidLastSave="{00000000-0000-0000-0000-000000000000}"/>
  <bookViews>
    <workbookView xWindow="-120" yWindow="-120" windowWidth="20730" windowHeight="11160" firstSheet="22" activeTab="26" xr2:uid="{00000000-000D-0000-FFFF-FFFF00000000}"/>
  </bookViews>
  <sheets>
    <sheet name="Mobile Shop Data" sheetId="1" r:id="rId1"/>
    <sheet name="TASK 1" sheetId="2" r:id="rId2"/>
    <sheet name="TASK 2" sheetId="4" r:id="rId3"/>
    <sheet name="TASK 3" sheetId="6" r:id="rId4"/>
    <sheet name="TASK 4" sheetId="8" r:id="rId5"/>
    <sheet name="TASK 5" sheetId="9" r:id="rId6"/>
    <sheet name="TASK 6" sheetId="10" r:id="rId7"/>
    <sheet name="TASK 7" sheetId="12" r:id="rId8"/>
    <sheet name="TASK 8" sheetId="13" r:id="rId9"/>
    <sheet name="TASK 9" sheetId="14" r:id="rId10"/>
    <sheet name="TASK 10" sheetId="15" r:id="rId11"/>
    <sheet name="TASK 11 &amp; 13" sheetId="16" r:id="rId12"/>
    <sheet name="TASK 12" sheetId="17" r:id="rId13"/>
    <sheet name="TASK 14" sheetId="18" r:id="rId14"/>
    <sheet name="TASK 15 &amp; 16 &amp; 17" sheetId="19" r:id="rId15"/>
    <sheet name="TASK 18" sheetId="21" r:id="rId16"/>
    <sheet name="TASK 19" sheetId="22" r:id="rId17"/>
    <sheet name="TASK 20" sheetId="23" r:id="rId18"/>
    <sheet name="TASK 21" sheetId="25" r:id="rId19"/>
    <sheet name="TASK 22" sheetId="28" r:id="rId20"/>
    <sheet name="TASK 23 &amp; 24 &amp; 29" sheetId="29" r:id="rId21"/>
    <sheet name="TASK 25 &amp; 26 &amp; 27 &amp; 28" sheetId="30" r:id="rId22"/>
    <sheet name="TASK 30" sheetId="32" r:id="rId23"/>
    <sheet name="TASK 31" sheetId="33" r:id="rId24"/>
    <sheet name="TASK 32" sheetId="34" r:id="rId25"/>
    <sheet name="TASK 33" sheetId="35" r:id="rId26"/>
    <sheet name="TASK 34" sheetId="36" r:id="rId27"/>
  </sheets>
  <definedNames>
    <definedName name="_xlnm._FilterDatabase" localSheetId="0" hidden="1">'Mobile Shop Data'!$A$1:$W$51</definedName>
    <definedName name="_xlnm._FilterDatabase" localSheetId="1" hidden="1">'TASK 1'!$A$1:$Z$51</definedName>
    <definedName name="_xlnm._FilterDatabase" localSheetId="10" hidden="1">'TASK 10'!$A$1:$W$56</definedName>
    <definedName name="_xlnm._FilterDatabase" localSheetId="21" hidden="1">'TASK 25 &amp; 26 &amp; 27 &amp; 28'!$A$1:$W$52</definedName>
  </definedNames>
  <calcPr calcId="191029"/>
  <pivotCaches>
    <pivotCache cacheId="0" r:id="rId28"/>
    <pivotCache cacheId="1" r:id="rId2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32" l="1"/>
  <c r="Y2" i="36" a="1"/>
  <c r="Y2" i="36" s="1"/>
  <c r="E3" i="35"/>
  <c r="E4" i="35"/>
  <c r="E5" i="35"/>
  <c r="E6" i="35"/>
  <c r="E7" i="35"/>
  <c r="E8" i="35"/>
  <c r="E9" i="35"/>
  <c r="E10" i="35"/>
  <c r="E11" i="35"/>
  <c r="E2" i="35"/>
  <c r="Y2" i="32"/>
  <c r="S3" i="32"/>
  <c r="S6" i="32"/>
  <c r="S7" i="32"/>
  <c r="S8" i="32"/>
  <c r="S9" i="32"/>
  <c r="S10" i="32"/>
  <c r="S11" i="32"/>
  <c r="S12" i="32"/>
  <c r="S13" i="32"/>
  <c r="S14" i="32"/>
  <c r="S15" i="32"/>
  <c r="S16" i="32"/>
  <c r="S17" i="32"/>
  <c r="S18" i="32"/>
  <c r="S19" i="32"/>
  <c r="S20" i="32"/>
  <c r="S21" i="32"/>
  <c r="S22" i="32"/>
  <c r="S23" i="32"/>
  <c r="S24" i="32"/>
  <c r="S25" i="32"/>
  <c r="S26" i="32"/>
  <c r="S27" i="32"/>
  <c r="S28" i="32"/>
  <c r="S29" i="32"/>
  <c r="S30" i="32"/>
  <c r="S31" i="32"/>
  <c r="S32" i="32"/>
  <c r="S33" i="32"/>
  <c r="S34" i="32"/>
  <c r="S35" i="32"/>
  <c r="S36" i="32"/>
  <c r="S37" i="32"/>
  <c r="S38" i="32"/>
  <c r="S39" i="32"/>
  <c r="S40" i="32"/>
  <c r="S41" i="32"/>
  <c r="S42" i="32"/>
  <c r="S43" i="32"/>
  <c r="S44" i="32"/>
  <c r="S45" i="32"/>
  <c r="S46" i="32"/>
  <c r="S47" i="32"/>
  <c r="S48" i="32"/>
  <c r="S49" i="32"/>
  <c r="S50" i="32"/>
  <c r="S51" i="32"/>
  <c r="S4" i="32"/>
  <c r="S5" i="32"/>
  <c r="C14" i="29"/>
  <c r="Y9" i="30"/>
  <c r="Y5" i="30"/>
  <c r="Y2" i="30"/>
  <c r="T52" i="30"/>
  <c r="G12" i="29"/>
  <c r="C12" i="29"/>
  <c r="X2" i="28"/>
  <c r="X4" i="28" l="1"/>
  <c r="X3" i="28"/>
  <c r="Z3" i="13" a="1"/>
  <c r="Z3" i="13" s="1"/>
  <c r="O2" i="2"/>
  <c r="AA3" i="13" a="1"/>
  <c r="AA3" i="13" s="1"/>
  <c r="P3" i="2" a="1"/>
  <c r="P3" i="2"/>
  <c r="P4" i="2" a="1"/>
  <c r="P4" i="2" s="1"/>
  <c r="P5" i="2" a="1"/>
  <c r="P5" i="2" s="1"/>
  <c r="P6" i="2" a="1"/>
  <c r="P6" i="2"/>
  <c r="P7" i="2" a="1"/>
  <c r="P7" i="2"/>
  <c r="P8" i="2" a="1"/>
  <c r="P8" i="2" s="1"/>
  <c r="P9" i="2" a="1"/>
  <c r="P9" i="2" s="1"/>
  <c r="P10" i="2" a="1"/>
  <c r="P10" i="2"/>
  <c r="P11" i="2" a="1"/>
  <c r="P11" i="2"/>
  <c r="P12" i="2" a="1"/>
  <c r="P12" i="2" s="1"/>
  <c r="P13" i="2" a="1"/>
  <c r="P13" i="2" s="1"/>
  <c r="P14" i="2" a="1"/>
  <c r="P14" i="2"/>
  <c r="P15" i="2" a="1"/>
  <c r="P15" i="2" s="1"/>
  <c r="P16" i="2" a="1"/>
  <c r="P16" i="2" s="1"/>
  <c r="P17" i="2" a="1"/>
  <c r="P17" i="2" s="1"/>
  <c r="P18" i="2" a="1"/>
  <c r="P18" i="2"/>
  <c r="P19" i="2" a="1"/>
  <c r="P19" i="2" s="1"/>
  <c r="P20" i="2" a="1"/>
  <c r="P20" i="2" s="1"/>
  <c r="P21" i="2" a="1"/>
  <c r="P21" i="2" s="1"/>
  <c r="P22" i="2" a="1"/>
  <c r="P22" i="2"/>
  <c r="P23" i="2" a="1"/>
  <c r="P23" i="2" s="1"/>
  <c r="P24" i="2" a="1"/>
  <c r="P24" i="2" s="1"/>
  <c r="P25" i="2" a="1"/>
  <c r="P25" i="2" s="1"/>
  <c r="P26" i="2" a="1"/>
  <c r="P26" i="2"/>
  <c r="P27" i="2" a="1"/>
  <c r="P27" i="2" s="1"/>
  <c r="P28" i="2" a="1"/>
  <c r="P28" i="2" s="1"/>
  <c r="P29" i="2" a="1"/>
  <c r="P29" i="2" s="1"/>
  <c r="P30" i="2" a="1"/>
  <c r="P30" i="2"/>
  <c r="P31" i="2" a="1"/>
  <c r="P31" i="2" s="1"/>
  <c r="P32" i="2" a="1"/>
  <c r="P32" i="2" s="1"/>
  <c r="P33" i="2" a="1"/>
  <c r="P33" i="2" s="1"/>
  <c r="P34" i="2" a="1"/>
  <c r="P34" i="2"/>
  <c r="P35" i="2" a="1"/>
  <c r="P35" i="2" s="1"/>
  <c r="P36" i="2" a="1"/>
  <c r="P36" i="2" s="1"/>
  <c r="P37" i="2" a="1"/>
  <c r="P37" i="2" s="1"/>
  <c r="P38" i="2" a="1"/>
  <c r="P38" i="2"/>
  <c r="P39" i="2" a="1"/>
  <c r="P39" i="2" s="1"/>
  <c r="P40" i="2" a="1"/>
  <c r="P40" i="2" s="1"/>
  <c r="P41" i="2" a="1"/>
  <c r="P41" i="2" s="1"/>
  <c r="P42" i="2" a="1"/>
  <c r="P42" i="2"/>
  <c r="P43" i="2" a="1"/>
  <c r="P43" i="2" s="1"/>
  <c r="P44" i="2" a="1"/>
  <c r="P44" i="2" s="1"/>
  <c r="P45" i="2" a="1"/>
  <c r="P45" i="2" s="1"/>
  <c r="P46" i="2" a="1"/>
  <c r="P46" i="2"/>
  <c r="P47" i="2" a="1"/>
  <c r="P47" i="2" s="1"/>
  <c r="P48" i="2" a="1"/>
  <c r="P48" i="2" s="1"/>
  <c r="P49" i="2" a="1"/>
  <c r="P49" i="2" s="1"/>
  <c r="P50" i="2" a="1"/>
  <c r="P50" i="2"/>
  <c r="P51" i="2" a="1"/>
  <c r="P51" i="2" s="1"/>
  <c r="P2" i="2" a="1"/>
  <c r="P2" i="2" s="1"/>
  <c r="O3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4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2" i="2"/>
  <c r="V52" i="2"/>
  <c r="Q52" i="2" l="1"/>
  <c r="N52" i="2"/>
  <c r="D57" i="2" s="1"/>
  <c r="U52" i="2"/>
  <c r="S52" i="2"/>
  <c r="E61" i="2" s="1"/>
  <c r="C53" i="2" a="1"/>
  <c r="C53" i="2" s="1"/>
  <c r="D55" i="2" l="1"/>
  <c r="D5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<sst xmlns="http://schemas.openxmlformats.org/spreadsheetml/2006/main" count="6080" uniqueCount="223">
  <si>
    <t>Order ID</t>
  </si>
  <si>
    <t>Emp ID</t>
  </si>
  <si>
    <t>Employee Name</t>
  </si>
  <si>
    <t>Department</t>
  </si>
  <si>
    <t>Region</t>
  </si>
  <si>
    <t>Gender</t>
  </si>
  <si>
    <t>Joining Date</t>
  </si>
  <si>
    <t>Attendance Days</t>
  </si>
  <si>
    <t>Product ID</t>
  </si>
  <si>
    <t>Product</t>
  </si>
  <si>
    <t>Brand</t>
  </si>
  <si>
    <t>Category</t>
  </si>
  <si>
    <t>Date</t>
  </si>
  <si>
    <t>Units</t>
  </si>
  <si>
    <t>Unit Price</t>
  </si>
  <si>
    <t>Discount %</t>
  </si>
  <si>
    <t>Gross Sales</t>
  </si>
  <si>
    <t>Discount Amount</t>
  </si>
  <si>
    <t>Total Sales</t>
  </si>
  <si>
    <t>Deposit</t>
  </si>
  <si>
    <t>Payment Method</t>
  </si>
  <si>
    <t>Sales Channel</t>
  </si>
  <si>
    <t>Customer</t>
  </si>
  <si>
    <t>ORD001</t>
  </si>
  <si>
    <t>Rahul</t>
  </si>
  <si>
    <t>Sales</t>
  </si>
  <si>
    <t>North</t>
  </si>
  <si>
    <t>Male</t>
  </si>
  <si>
    <t>P001</t>
  </si>
  <si>
    <t>iPhone 15</t>
  </si>
  <si>
    <t>Apple</t>
  </si>
  <si>
    <t>Smartphone</t>
  </si>
  <si>
    <t>Cash</t>
  </si>
  <si>
    <t>Store</t>
  </si>
  <si>
    <t>ABC Ltd</t>
  </si>
  <si>
    <t>ORD002</t>
  </si>
  <si>
    <t>Suman</t>
  </si>
  <si>
    <t>East</t>
  </si>
  <si>
    <t>Female</t>
  </si>
  <si>
    <t>P004</t>
  </si>
  <si>
    <t>Galaxy A35</t>
  </si>
  <si>
    <t>Samsung</t>
  </si>
  <si>
    <t>UPI</t>
  </si>
  <si>
    <t>Online</t>
  </si>
  <si>
    <t>XYZ Pvt</t>
  </si>
  <si>
    <t>ORD003</t>
  </si>
  <si>
    <t>Beena</t>
  </si>
  <si>
    <t>Marketing</t>
  </si>
  <si>
    <t>P007</t>
  </si>
  <si>
    <t>Redmi Note 13</t>
  </si>
  <si>
    <t>Xiaomi</t>
  </si>
  <si>
    <t>Credit Card</t>
  </si>
  <si>
    <t>Phone</t>
  </si>
  <si>
    <t>PQR Ltd</t>
  </si>
  <si>
    <t>ORD004</t>
  </si>
  <si>
    <t>Seema</t>
  </si>
  <si>
    <t>R&amp;D</t>
  </si>
  <si>
    <t>P010</t>
  </si>
  <si>
    <t>Realme 12 Pro</t>
  </si>
  <si>
    <t>Realme</t>
  </si>
  <si>
    <t>Debit Card</t>
  </si>
  <si>
    <t>LMN Ltd</t>
  </si>
  <si>
    <t>ORD005</t>
  </si>
  <si>
    <t>Julie</t>
  </si>
  <si>
    <t>West</t>
  </si>
  <si>
    <t>P013</t>
  </si>
  <si>
    <t>Galaxy Buds</t>
  </si>
  <si>
    <t>Accessory</t>
  </si>
  <si>
    <t>EMI</t>
  </si>
  <si>
    <t>DEF Ltd</t>
  </si>
  <si>
    <t>ORD006</t>
  </si>
  <si>
    <t>Neena</t>
  </si>
  <si>
    <t>GHI Ltd</t>
  </si>
  <si>
    <t>ORD007</t>
  </si>
  <si>
    <t>Pankaj</t>
  </si>
  <si>
    <t>ORD008</t>
  </si>
  <si>
    <t>Andre</t>
  </si>
  <si>
    <t>ORD009</t>
  </si>
  <si>
    <t>Javed</t>
  </si>
  <si>
    <t>Finance</t>
  </si>
  <si>
    <t>ORD010</t>
  </si>
  <si>
    <t>Shilpa</t>
  </si>
  <si>
    <t>Admin</t>
  </si>
  <si>
    <t>ORD011</t>
  </si>
  <si>
    <t>Meera</t>
  </si>
  <si>
    <t>ORD012</t>
  </si>
  <si>
    <t>Sheetal</t>
  </si>
  <si>
    <t>Director</t>
  </si>
  <si>
    <t>South</t>
  </si>
  <si>
    <t>ORD013</t>
  </si>
  <si>
    <t>K. Sita</t>
  </si>
  <si>
    <t>Personal</t>
  </si>
  <si>
    <t>ORD014</t>
  </si>
  <si>
    <t>Priya</t>
  </si>
  <si>
    <t>ORD015</t>
  </si>
  <si>
    <t>Aalok</t>
  </si>
  <si>
    <t>ORD016</t>
  </si>
  <si>
    <t>Aakash</t>
  </si>
  <si>
    <t>ORD017</t>
  </si>
  <si>
    <t>Parvati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</si>
  <si>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</si>
  <si>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</si>
  <si>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</si>
  <si>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</si>
  <si>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</si>
  <si>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</si>
  <si>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</si>
  <si>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</si>
  <si>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</si>
  <si>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</si>
  <si>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</si>
  <si>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</si>
  <si>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</si>
  <si>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</si>
  <si>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</si>
  <si>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</si>
  <si>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</si>
  <si>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</si>
  <si>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</si>
  <si>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</si>
  <si>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</si>
  <si>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</si>
  <si>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</si>
  <si>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</si>
  <si>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</si>
  <si>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</si>
  <si>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</si>
  <si>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</si>
  <si>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</si>
  <si>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</si>
  <si>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</si>
  <si>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</si>
  <si>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</si>
  <si>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Total Business Value (SUM)</t>
  </si>
  <si>
    <t>adding Mobile Sales and Deposit</t>
  </si>
  <si>
    <t>TOTAL SUM OF GROSS AND DISCOUNT</t>
  </si>
  <si>
    <t>subtracting the Discount Amount from Gross Sales</t>
  </si>
  <si>
    <t>Units × Unit Price</t>
  </si>
  <si>
    <t>Discount Amount ÷ Units</t>
  </si>
  <si>
    <t>TOTAL SUM OF TOTAL SALES</t>
  </si>
  <si>
    <t>PERCENTAGE OF TOTAL SLAES AND GROSS SALES</t>
  </si>
  <si>
    <t>INDIVIDUAL PRECENTAGE</t>
  </si>
  <si>
    <t>Total sales / Gross sales %</t>
  </si>
  <si>
    <t>MODULO FOR BULK AND REGULAR</t>
  </si>
  <si>
    <t>BULK OR REGULAR OR MEDIUM</t>
  </si>
  <si>
    <t>TOTAL SUM OF UNIT</t>
  </si>
  <si>
    <t>TOTAL SUM OF UINT PRICE</t>
  </si>
  <si>
    <t>Row Labels</t>
  </si>
  <si>
    <t>Grand Total</t>
  </si>
  <si>
    <t>Sum of Total Sales</t>
  </si>
  <si>
    <t>PIVOT TABLE OF TOTAL SALES BY PRODUCT</t>
  </si>
  <si>
    <t>Column Labels</t>
  </si>
  <si>
    <t>PIVOT TABLE OF TOTAL ORDER BY PRODUCT</t>
  </si>
  <si>
    <t>Count of Order ID</t>
  </si>
  <si>
    <t>PRODUCT</t>
  </si>
  <si>
    <t>Pivot product wise</t>
  </si>
  <si>
    <t>Count of Product ID</t>
  </si>
  <si>
    <t>Sum of Attendance Days</t>
  </si>
  <si>
    <t>(All)</t>
  </si>
  <si>
    <t>PIVOT TABLE WITH FILTER</t>
  </si>
  <si>
    <t>BAR CHART</t>
  </si>
  <si>
    <t>PIE CHART</t>
  </si>
  <si>
    <t>GRAPH CHART</t>
  </si>
  <si>
    <t>LINE CHART</t>
  </si>
  <si>
    <t>COLUMN CHART</t>
  </si>
  <si>
    <t>TOTAL PRODUCT</t>
  </si>
  <si>
    <t>WIN/LOSS CHART</t>
  </si>
  <si>
    <t>Sales wise Bar chart &amp; empolyee attendence</t>
  </si>
  <si>
    <t>discounted revenue before deposit (SUB)</t>
  </si>
  <si>
    <t>potential revenue without discount (MULIT)</t>
  </si>
  <si>
    <t>average discount amount per unit (DIV)</t>
  </si>
  <si>
    <t>MODULO %</t>
  </si>
  <si>
    <t>percentage of Gross Sales remains as Total Sales (PER)</t>
  </si>
  <si>
    <t>VLOOKUP TASK</t>
  </si>
  <si>
    <t>DATA VALIDATION  SETTING</t>
  </si>
  <si>
    <t>DATA VALIDATION  MESSAGE</t>
  </si>
  <si>
    <t>DATA VALIDATION  ERROR ALERT</t>
  </si>
  <si>
    <t>Average of Unit Price</t>
  </si>
  <si>
    <t>Product wise avg price</t>
  </si>
  <si>
    <t>Count of Product</t>
  </si>
  <si>
    <t>Pivot Table showing company-wise Product count.</t>
  </si>
  <si>
    <t>product with the highest average salary</t>
  </si>
  <si>
    <t>total number of attendance days for each employee</t>
  </si>
  <si>
    <t>showing department-wise a attendance</t>
  </si>
  <si>
    <t>Pie chart showing department-wise a attendance</t>
  </si>
  <si>
    <t>Department wise Sales</t>
  </si>
  <si>
    <t>Gender-wise Sales</t>
  </si>
  <si>
    <t>Count of Employee Name</t>
  </si>
  <si>
    <t>Employee Count by Department</t>
  </si>
  <si>
    <t>Qtr1</t>
  </si>
  <si>
    <t>Qtr2</t>
  </si>
  <si>
    <t>2026</t>
  </si>
  <si>
    <t>2026 Total</t>
  </si>
  <si>
    <t>Department-wise Quarterly Sales Dashboard</t>
  </si>
  <si>
    <t>What is the total sales generated through the Store channel?</t>
  </si>
  <si>
    <t>FOR STORE TOTAL SALES THROUGH THE STORE CHANNEL</t>
  </si>
  <si>
    <t>FOR PHONE TOTAL SALES THROUGH THE STORE CHANNEL</t>
  </si>
  <si>
    <t>FOR ONLINE TOTAL SALES THROUGH THE STORE CHANNEL</t>
  </si>
  <si>
    <t>Employee ID</t>
  </si>
  <si>
    <t>Salary</t>
  </si>
  <si>
    <t>Aarav</t>
  </si>
  <si>
    <t>Diya</t>
  </si>
  <si>
    <t>Rohan</t>
  </si>
  <si>
    <t>Kabir</t>
  </si>
  <si>
    <t>Anaya</t>
  </si>
  <si>
    <t>Vihaan</t>
  </si>
  <si>
    <t>Isha</t>
  </si>
  <si>
    <t>Arjun</t>
  </si>
  <si>
    <t>Sara</t>
  </si>
  <si>
    <t>Sum of Salary</t>
  </si>
  <si>
    <t>total salary of Marketing department</t>
  </si>
  <si>
    <t>total salary greater than 30000</t>
  </si>
  <si>
    <t>Calculate total deposit</t>
  </si>
  <si>
    <t>Find the total sales generated by customer ABC Ltd.</t>
  </si>
  <si>
    <t>Find total Unit greater than 3</t>
  </si>
  <si>
    <t>count employees in Sales</t>
  </si>
  <si>
    <t>total salary of Sales</t>
  </si>
  <si>
    <t>Find the total sales for Store channel in the North region</t>
  </si>
  <si>
    <t>Max of Salary</t>
  </si>
  <si>
    <t>MAX highest salary</t>
  </si>
  <si>
    <t>Min of Salary</t>
  </si>
  <si>
    <t>give grade A/B/C based on salary</t>
  </si>
  <si>
    <t>number of years each employee has been working in the Mobile Shop based on their Joining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</si>
</sst>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\₹#,##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3" fillId="2" borderId="1" xfId="0" applyFont="1" applyFill="1" applyBorder="1"/>
    <xf numFmtId="0" fontId="4" fillId="0" borderId="1" xfId="0" applyFont="1" applyBorder="1" applyAlignment="1">
      <alignment horizontal="center" vertical="top"/>
    </xf>
    <xf numFmtId="4" fontId="0" fillId="2" borderId="0" xfId="0" applyNumberFormat="1" applyFill="1"/>
    <xf numFmtId="4" fontId="0" fillId="2" borderId="1" xfId="0" applyNumberFormat="1" applyFill="1" applyBorder="1"/>
    <xf numFmtId="0" fontId="3" fillId="0" borderId="0" xfId="0" applyFont="1" applyAlignment="1"/>
    <xf numFmtId="9" fontId="0" fillId="2" borderId="1" xfId="1" applyFont="1" applyFill="1" applyBorder="1"/>
    <xf numFmtId="0" fontId="4" fillId="2" borderId="1" xfId="0" applyFont="1" applyFill="1" applyBorder="1" applyAlignment="1">
      <alignment horizontal="center" vertical="top"/>
    </xf>
    <xf numFmtId="0" fontId="0" fillId="0" borderId="0" xfId="0" applyBorder="1"/>
    <xf numFmtId="0" fontId="3" fillId="0" borderId="4" xfId="0" applyFont="1" applyBorder="1"/>
    <xf numFmtId="0" fontId="4" fillId="2" borderId="1" xfId="0" applyFont="1" applyFill="1" applyBorder="1" applyAlignment="1">
      <alignment vertical="top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 vertical="top"/>
    </xf>
    <xf numFmtId="0" fontId="3" fillId="0" borderId="1" xfId="0" applyFont="1" applyFill="1" applyBorder="1"/>
    <xf numFmtId="0" fontId="1" fillId="2" borderId="1" xfId="0" applyFont="1" applyFill="1" applyBorder="1" applyAlignment="1">
      <alignment horizontal="center" vertical="top"/>
    </xf>
    <xf numFmtId="0" fontId="0" fillId="0" borderId="3" xfId="0" applyBorder="1"/>
    <xf numFmtId="0" fontId="0" fillId="2" borderId="2" xfId="0" applyFill="1" applyBorder="1"/>
    <xf numFmtId="0" fontId="0" fillId="3" borderId="1" xfId="0" applyFill="1" applyBorder="1"/>
    <xf numFmtId="164" fontId="0" fillId="3" borderId="1" xfId="0" applyNumberFormat="1" applyFill="1" applyBorder="1"/>
    <xf numFmtId="4" fontId="0" fillId="3" borderId="1" xfId="0" applyNumberFormat="1" applyFill="1" applyBorder="1"/>
    <xf numFmtId="0" fontId="0" fillId="3" borderId="0" xfId="0" applyFill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3" borderId="1" xfId="0" applyNumberFormat="1" applyFill="1" applyBorder="1"/>
    <xf numFmtId="165" fontId="0" fillId="0" borderId="0" xfId="0" applyNumberFormat="1"/>
    <xf numFmtId="0" fontId="8" fillId="0" borderId="1" xfId="0" applyFont="1" applyBorder="1"/>
    <xf numFmtId="0" fontId="9" fillId="0" borderId="1" xfId="0" applyFont="1" applyBorder="1"/>
    <xf numFmtId="165" fontId="9" fillId="0" borderId="1" xfId="0" applyNumberFormat="1" applyFont="1" applyBorder="1"/>
    <xf numFmtId="0" fontId="5" fillId="2" borderId="1" xfId="0" applyFont="1" applyFill="1" applyBorder="1"/>
    <xf numFmtId="0" fontId="0" fillId="2" borderId="8" xfId="0" applyFill="1" applyBorder="1"/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[Mobile_Shop_Project.xlsx]TASK 6!PivotTable6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 WISE BAR CHART</a:t>
            </a:r>
          </a:p>
        </c:rich>
      </c:tx>
      <c:layout>
        <c:manualLayout>
          <c:xMode val="edge"/>
          <c:yMode val="edge"/>
          <c:x val="0.23978598088083025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4193599653254357E-2"/>
          <c:y val="0.13569225721784778"/>
          <c:w val="0.70339049820607291"/>
          <c:h val="0.38615376202974627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'TASK 6'!$B$3:$B$4</c:f>
              <c:strCache>
                <c:ptCount val="1"/>
                <c:pt idx="0">
                  <c:v>Cash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'TASK 6'!$A$5:$A$41</c:f>
              <c:multiLvlStrCache>
                <c:ptCount val="30"/>
                <c:lvl>
                  <c:pt idx="0">
                    <c:v>Galaxy A35</c:v>
                  </c:pt>
                  <c:pt idx="1">
                    <c:v>Galaxy Buds</c:v>
                  </c:pt>
                  <c:pt idx="2">
                    <c:v>iPhone 15</c:v>
                  </c:pt>
                  <c:pt idx="3">
                    <c:v>Realme 12 Pro</c:v>
                  </c:pt>
                  <c:pt idx="4">
                    <c:v>Redmi Note 13</c:v>
                  </c:pt>
                  <c:pt idx="5">
                    <c:v>Galaxy A35</c:v>
                  </c:pt>
                  <c:pt idx="6">
                    <c:v>Galaxy Buds</c:v>
                  </c:pt>
                  <c:pt idx="7">
                    <c:v>iPhone 15</c:v>
                  </c:pt>
                  <c:pt idx="8">
                    <c:v>Realme 12 Pro</c:v>
                  </c:pt>
                  <c:pt idx="9">
                    <c:v>Redmi Note 13</c:v>
                  </c:pt>
                  <c:pt idx="10">
                    <c:v>Galaxy A35</c:v>
                  </c:pt>
                  <c:pt idx="11">
                    <c:v>Galaxy Buds</c:v>
                  </c:pt>
                  <c:pt idx="12">
                    <c:v>iPhone 15</c:v>
                  </c:pt>
                  <c:pt idx="13">
                    <c:v>Realme 12 Pro</c:v>
                  </c:pt>
                  <c:pt idx="14">
                    <c:v>Redmi Note 13</c:v>
                  </c:pt>
                  <c:pt idx="15">
                    <c:v>Galaxy A35</c:v>
                  </c:pt>
                  <c:pt idx="16">
                    <c:v>Galaxy Buds</c:v>
                  </c:pt>
                  <c:pt idx="17">
                    <c:v>iPhone 15</c:v>
                  </c:pt>
                  <c:pt idx="18">
                    <c:v>Realme 12 Pro</c:v>
                  </c:pt>
                  <c:pt idx="19">
                    <c:v>Redmi Note 13</c:v>
                  </c:pt>
                  <c:pt idx="20">
                    <c:v>Galaxy A35</c:v>
                  </c:pt>
                  <c:pt idx="21">
                    <c:v>Galaxy Buds</c:v>
                  </c:pt>
                  <c:pt idx="22">
                    <c:v>iPhone 15</c:v>
                  </c:pt>
                  <c:pt idx="23">
                    <c:v>Realme 12 Pro</c:v>
                  </c:pt>
                  <c:pt idx="24">
                    <c:v>Redmi Note 13</c:v>
                  </c:pt>
                  <c:pt idx="25">
                    <c:v>Galaxy A35</c:v>
                  </c:pt>
                  <c:pt idx="26">
                    <c:v>Galaxy Buds</c:v>
                  </c:pt>
                  <c:pt idx="27">
                    <c:v>iPhone 15</c:v>
                  </c:pt>
                  <c:pt idx="28">
                    <c:v>Realme 12 Pro</c:v>
                  </c:pt>
                  <c:pt idx="29">
                    <c:v>Redmi Note 13</c:v>
                  </c:pt>
                </c:lvl>
                <c:lvl>
                  <c:pt idx="0">
                    <c:v>ABC Ltd</c:v>
                  </c:pt>
                  <c:pt idx="5">
                    <c:v>DEF Ltd</c:v>
                  </c:pt>
                  <c:pt idx="10">
                    <c:v>GHI Ltd</c:v>
                  </c:pt>
                  <c:pt idx="15">
                    <c:v>LMN Ltd</c:v>
                  </c:pt>
                  <c:pt idx="20">
                    <c:v>PQR Ltd</c:v>
                  </c:pt>
                  <c:pt idx="25">
                    <c:v>XYZ Pvt</c:v>
                  </c:pt>
                </c:lvl>
              </c:multiLvlStrCache>
            </c:multiLvlStrRef>
          </c:cat>
          <c:val>
            <c:numRef>
              <c:f>'TASK 6'!$B$5:$B$41</c:f>
              <c:numCache>
                <c:formatCode>General</c:formatCode>
                <c:ptCount val="30"/>
                <c:pt idx="2">
                  <c:v>2</c:v>
                </c:pt>
                <c:pt idx="7">
                  <c:v>2</c:v>
                </c:pt>
                <c:pt idx="12">
                  <c:v>2</c:v>
                </c:pt>
                <c:pt idx="17">
                  <c:v>2</c:v>
                </c:pt>
                <c:pt idx="22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1-45D5-AAE5-DD8536AA4504}"/>
            </c:ext>
          </c:extLst>
        </c:ser>
        <c:ser>
          <c:idx val="1"/>
          <c:order val="1"/>
          <c:tx>
            <c:strRef>
              <c:f>'TASK 6'!$C$3:$C$4</c:f>
              <c:strCache>
                <c:ptCount val="1"/>
                <c:pt idx="0">
                  <c:v>Credit Card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'TASK 6'!$A$5:$A$41</c:f>
              <c:multiLvlStrCache>
                <c:ptCount val="30"/>
                <c:lvl>
                  <c:pt idx="0">
                    <c:v>Galaxy A35</c:v>
                  </c:pt>
                  <c:pt idx="1">
                    <c:v>Galaxy Buds</c:v>
                  </c:pt>
                  <c:pt idx="2">
                    <c:v>iPhone 15</c:v>
                  </c:pt>
                  <c:pt idx="3">
                    <c:v>Realme 12 Pro</c:v>
                  </c:pt>
                  <c:pt idx="4">
                    <c:v>Redmi Note 13</c:v>
                  </c:pt>
                  <c:pt idx="5">
                    <c:v>Galaxy A35</c:v>
                  </c:pt>
                  <c:pt idx="6">
                    <c:v>Galaxy Buds</c:v>
                  </c:pt>
                  <c:pt idx="7">
                    <c:v>iPhone 15</c:v>
                  </c:pt>
                  <c:pt idx="8">
                    <c:v>Realme 12 Pro</c:v>
                  </c:pt>
                  <c:pt idx="9">
                    <c:v>Redmi Note 13</c:v>
                  </c:pt>
                  <c:pt idx="10">
                    <c:v>Galaxy A35</c:v>
                  </c:pt>
                  <c:pt idx="11">
                    <c:v>Galaxy Buds</c:v>
                  </c:pt>
                  <c:pt idx="12">
                    <c:v>iPhone 15</c:v>
                  </c:pt>
                  <c:pt idx="13">
                    <c:v>Realme 12 Pro</c:v>
                  </c:pt>
                  <c:pt idx="14">
                    <c:v>Redmi Note 13</c:v>
                  </c:pt>
                  <c:pt idx="15">
                    <c:v>Galaxy A35</c:v>
                  </c:pt>
                  <c:pt idx="16">
                    <c:v>Galaxy Buds</c:v>
                  </c:pt>
                  <c:pt idx="17">
                    <c:v>iPhone 15</c:v>
                  </c:pt>
                  <c:pt idx="18">
                    <c:v>Realme 12 Pro</c:v>
                  </c:pt>
                  <c:pt idx="19">
                    <c:v>Redmi Note 13</c:v>
                  </c:pt>
                  <c:pt idx="20">
                    <c:v>Galaxy A35</c:v>
                  </c:pt>
                  <c:pt idx="21">
                    <c:v>Galaxy Buds</c:v>
                  </c:pt>
                  <c:pt idx="22">
                    <c:v>iPhone 15</c:v>
                  </c:pt>
                  <c:pt idx="23">
                    <c:v>Realme 12 Pro</c:v>
                  </c:pt>
                  <c:pt idx="24">
                    <c:v>Redmi Note 13</c:v>
                  </c:pt>
                  <c:pt idx="25">
                    <c:v>Galaxy A35</c:v>
                  </c:pt>
                  <c:pt idx="26">
                    <c:v>Galaxy Buds</c:v>
                  </c:pt>
                  <c:pt idx="27">
                    <c:v>iPhone 15</c:v>
                  </c:pt>
                  <c:pt idx="28">
                    <c:v>Realme 12 Pro</c:v>
                  </c:pt>
                  <c:pt idx="29">
                    <c:v>Redmi Note 13</c:v>
                  </c:pt>
                </c:lvl>
                <c:lvl>
                  <c:pt idx="0">
                    <c:v>ABC Ltd</c:v>
                  </c:pt>
                  <c:pt idx="5">
                    <c:v>DEF Ltd</c:v>
                  </c:pt>
                  <c:pt idx="10">
                    <c:v>GHI Ltd</c:v>
                  </c:pt>
                  <c:pt idx="15">
                    <c:v>LMN Ltd</c:v>
                  </c:pt>
                  <c:pt idx="20">
                    <c:v>PQR Ltd</c:v>
                  </c:pt>
                  <c:pt idx="25">
                    <c:v>XYZ Pvt</c:v>
                  </c:pt>
                </c:lvl>
              </c:multiLvlStrCache>
            </c:multiLvlStrRef>
          </c:cat>
          <c:val>
            <c:numRef>
              <c:f>'TASK 6'!$C$5:$C$41</c:f>
              <c:numCache>
                <c:formatCode>General</c:formatCode>
                <c:ptCount val="30"/>
                <c:pt idx="4">
                  <c:v>2</c:v>
                </c:pt>
                <c:pt idx="9">
                  <c:v>1</c:v>
                </c:pt>
                <c:pt idx="14">
                  <c:v>2</c:v>
                </c:pt>
                <c:pt idx="19">
                  <c:v>1</c:v>
                </c:pt>
                <c:pt idx="24">
                  <c:v>2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61-45D5-AAE5-DD8536AA4504}"/>
            </c:ext>
          </c:extLst>
        </c:ser>
        <c:ser>
          <c:idx val="2"/>
          <c:order val="2"/>
          <c:tx>
            <c:strRef>
              <c:f>'TASK 6'!$D$3:$D$4</c:f>
              <c:strCache>
                <c:ptCount val="1"/>
                <c:pt idx="0">
                  <c:v>Debit Card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'TASK 6'!$A$5:$A$41</c:f>
              <c:multiLvlStrCache>
                <c:ptCount val="30"/>
                <c:lvl>
                  <c:pt idx="0">
                    <c:v>Galaxy A35</c:v>
                  </c:pt>
                  <c:pt idx="1">
                    <c:v>Galaxy Buds</c:v>
                  </c:pt>
                  <c:pt idx="2">
                    <c:v>iPhone 15</c:v>
                  </c:pt>
                  <c:pt idx="3">
                    <c:v>Realme 12 Pro</c:v>
                  </c:pt>
                  <c:pt idx="4">
                    <c:v>Redmi Note 13</c:v>
                  </c:pt>
                  <c:pt idx="5">
                    <c:v>Galaxy A35</c:v>
                  </c:pt>
                  <c:pt idx="6">
                    <c:v>Galaxy Buds</c:v>
                  </c:pt>
                  <c:pt idx="7">
                    <c:v>iPhone 15</c:v>
                  </c:pt>
                  <c:pt idx="8">
                    <c:v>Realme 12 Pro</c:v>
                  </c:pt>
                  <c:pt idx="9">
                    <c:v>Redmi Note 13</c:v>
                  </c:pt>
                  <c:pt idx="10">
                    <c:v>Galaxy A35</c:v>
                  </c:pt>
                  <c:pt idx="11">
                    <c:v>Galaxy Buds</c:v>
                  </c:pt>
                  <c:pt idx="12">
                    <c:v>iPhone 15</c:v>
                  </c:pt>
                  <c:pt idx="13">
                    <c:v>Realme 12 Pro</c:v>
                  </c:pt>
                  <c:pt idx="14">
                    <c:v>Redmi Note 13</c:v>
                  </c:pt>
                  <c:pt idx="15">
                    <c:v>Galaxy A35</c:v>
                  </c:pt>
                  <c:pt idx="16">
                    <c:v>Galaxy Buds</c:v>
                  </c:pt>
                  <c:pt idx="17">
                    <c:v>iPhone 15</c:v>
                  </c:pt>
                  <c:pt idx="18">
                    <c:v>Realme 12 Pro</c:v>
                  </c:pt>
                  <c:pt idx="19">
                    <c:v>Redmi Note 13</c:v>
                  </c:pt>
                  <c:pt idx="20">
                    <c:v>Galaxy A35</c:v>
                  </c:pt>
                  <c:pt idx="21">
                    <c:v>Galaxy Buds</c:v>
                  </c:pt>
                  <c:pt idx="22">
                    <c:v>iPhone 15</c:v>
                  </c:pt>
                  <c:pt idx="23">
                    <c:v>Realme 12 Pro</c:v>
                  </c:pt>
                  <c:pt idx="24">
                    <c:v>Redmi Note 13</c:v>
                  </c:pt>
                  <c:pt idx="25">
                    <c:v>Galaxy A35</c:v>
                  </c:pt>
                  <c:pt idx="26">
                    <c:v>Galaxy Buds</c:v>
                  </c:pt>
                  <c:pt idx="27">
                    <c:v>iPhone 15</c:v>
                  </c:pt>
                  <c:pt idx="28">
                    <c:v>Realme 12 Pro</c:v>
                  </c:pt>
                  <c:pt idx="29">
                    <c:v>Redmi Note 13</c:v>
                  </c:pt>
                </c:lvl>
                <c:lvl>
                  <c:pt idx="0">
                    <c:v>ABC Ltd</c:v>
                  </c:pt>
                  <c:pt idx="5">
                    <c:v>DEF Ltd</c:v>
                  </c:pt>
                  <c:pt idx="10">
                    <c:v>GHI Ltd</c:v>
                  </c:pt>
                  <c:pt idx="15">
                    <c:v>LMN Ltd</c:v>
                  </c:pt>
                  <c:pt idx="20">
                    <c:v>PQR Ltd</c:v>
                  </c:pt>
                  <c:pt idx="25">
                    <c:v>XYZ Pvt</c:v>
                  </c:pt>
                </c:lvl>
              </c:multiLvlStrCache>
            </c:multiLvlStrRef>
          </c:cat>
          <c:val>
            <c:numRef>
              <c:f>'TASK 6'!$D$5:$D$41</c:f>
              <c:numCache>
                <c:formatCode>General</c:formatCode>
                <c:ptCount val="30"/>
                <c:pt idx="3">
                  <c:v>2</c:v>
                </c:pt>
                <c:pt idx="8">
                  <c:v>1</c:v>
                </c:pt>
                <c:pt idx="13">
                  <c:v>1</c:v>
                </c:pt>
                <c:pt idx="18">
                  <c:v>2</c:v>
                </c:pt>
                <c:pt idx="23">
                  <c:v>2</c:v>
                </c:pt>
                <c:pt idx="2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61-45D5-AAE5-DD8536AA4504}"/>
            </c:ext>
          </c:extLst>
        </c:ser>
        <c:ser>
          <c:idx val="3"/>
          <c:order val="3"/>
          <c:tx>
            <c:strRef>
              <c:f>'TASK 6'!$E$3:$E$4</c:f>
              <c:strCache>
                <c:ptCount val="1"/>
                <c:pt idx="0">
                  <c:v>EMI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'TASK 6'!$A$5:$A$41</c:f>
              <c:multiLvlStrCache>
                <c:ptCount val="30"/>
                <c:lvl>
                  <c:pt idx="0">
                    <c:v>Galaxy A35</c:v>
                  </c:pt>
                  <c:pt idx="1">
                    <c:v>Galaxy Buds</c:v>
                  </c:pt>
                  <c:pt idx="2">
                    <c:v>iPhone 15</c:v>
                  </c:pt>
                  <c:pt idx="3">
                    <c:v>Realme 12 Pro</c:v>
                  </c:pt>
                  <c:pt idx="4">
                    <c:v>Redmi Note 13</c:v>
                  </c:pt>
                  <c:pt idx="5">
                    <c:v>Galaxy A35</c:v>
                  </c:pt>
                  <c:pt idx="6">
                    <c:v>Galaxy Buds</c:v>
                  </c:pt>
                  <c:pt idx="7">
                    <c:v>iPhone 15</c:v>
                  </c:pt>
                  <c:pt idx="8">
                    <c:v>Realme 12 Pro</c:v>
                  </c:pt>
                  <c:pt idx="9">
                    <c:v>Redmi Note 13</c:v>
                  </c:pt>
                  <c:pt idx="10">
                    <c:v>Galaxy A35</c:v>
                  </c:pt>
                  <c:pt idx="11">
                    <c:v>Galaxy Buds</c:v>
                  </c:pt>
                  <c:pt idx="12">
                    <c:v>iPhone 15</c:v>
                  </c:pt>
                  <c:pt idx="13">
                    <c:v>Realme 12 Pro</c:v>
                  </c:pt>
                  <c:pt idx="14">
                    <c:v>Redmi Note 13</c:v>
                  </c:pt>
                  <c:pt idx="15">
                    <c:v>Galaxy A35</c:v>
                  </c:pt>
                  <c:pt idx="16">
                    <c:v>Galaxy Buds</c:v>
                  </c:pt>
                  <c:pt idx="17">
                    <c:v>iPhone 15</c:v>
                  </c:pt>
                  <c:pt idx="18">
                    <c:v>Realme 12 Pro</c:v>
                  </c:pt>
                  <c:pt idx="19">
                    <c:v>Redmi Note 13</c:v>
                  </c:pt>
                  <c:pt idx="20">
                    <c:v>Galaxy A35</c:v>
                  </c:pt>
                  <c:pt idx="21">
                    <c:v>Galaxy Buds</c:v>
                  </c:pt>
                  <c:pt idx="22">
                    <c:v>iPhone 15</c:v>
                  </c:pt>
                  <c:pt idx="23">
                    <c:v>Realme 12 Pro</c:v>
                  </c:pt>
                  <c:pt idx="24">
                    <c:v>Redmi Note 13</c:v>
                  </c:pt>
                  <c:pt idx="25">
                    <c:v>Galaxy A35</c:v>
                  </c:pt>
                  <c:pt idx="26">
                    <c:v>Galaxy Buds</c:v>
                  </c:pt>
                  <c:pt idx="27">
                    <c:v>iPhone 15</c:v>
                  </c:pt>
                  <c:pt idx="28">
                    <c:v>Realme 12 Pro</c:v>
                  </c:pt>
                  <c:pt idx="29">
                    <c:v>Redmi Note 13</c:v>
                  </c:pt>
                </c:lvl>
                <c:lvl>
                  <c:pt idx="0">
                    <c:v>ABC Ltd</c:v>
                  </c:pt>
                  <c:pt idx="5">
                    <c:v>DEF Ltd</c:v>
                  </c:pt>
                  <c:pt idx="10">
                    <c:v>GHI Ltd</c:v>
                  </c:pt>
                  <c:pt idx="15">
                    <c:v>LMN Ltd</c:v>
                  </c:pt>
                  <c:pt idx="20">
                    <c:v>PQR Ltd</c:v>
                  </c:pt>
                  <c:pt idx="25">
                    <c:v>XYZ Pvt</c:v>
                  </c:pt>
                </c:lvl>
              </c:multiLvlStrCache>
            </c:multiLvlStrRef>
          </c:cat>
          <c:val>
            <c:numRef>
              <c:f>'TASK 6'!$E$5:$E$41</c:f>
              <c:numCache>
                <c:formatCode>General</c:formatCode>
                <c:ptCount val="30"/>
                <c:pt idx="1">
                  <c:v>1</c:v>
                </c:pt>
                <c:pt idx="6">
                  <c:v>2</c:v>
                </c:pt>
                <c:pt idx="11">
                  <c:v>1</c:v>
                </c:pt>
                <c:pt idx="16">
                  <c:v>2</c:v>
                </c:pt>
                <c:pt idx="21">
                  <c:v>2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61-45D5-AAE5-DD8536AA4504}"/>
            </c:ext>
          </c:extLst>
        </c:ser>
        <c:ser>
          <c:idx val="4"/>
          <c:order val="4"/>
          <c:tx>
            <c:strRef>
              <c:f>'TASK 6'!$F$3:$F$4</c:f>
              <c:strCache>
                <c:ptCount val="1"/>
                <c:pt idx="0">
                  <c:v>UPI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'TASK 6'!$A$5:$A$41</c:f>
              <c:multiLvlStrCache>
                <c:ptCount val="30"/>
                <c:lvl>
                  <c:pt idx="0">
                    <c:v>Galaxy A35</c:v>
                  </c:pt>
                  <c:pt idx="1">
                    <c:v>Galaxy Buds</c:v>
                  </c:pt>
                  <c:pt idx="2">
                    <c:v>iPhone 15</c:v>
                  </c:pt>
                  <c:pt idx="3">
                    <c:v>Realme 12 Pro</c:v>
                  </c:pt>
                  <c:pt idx="4">
                    <c:v>Redmi Note 13</c:v>
                  </c:pt>
                  <c:pt idx="5">
                    <c:v>Galaxy A35</c:v>
                  </c:pt>
                  <c:pt idx="6">
                    <c:v>Galaxy Buds</c:v>
                  </c:pt>
                  <c:pt idx="7">
                    <c:v>iPhone 15</c:v>
                  </c:pt>
                  <c:pt idx="8">
                    <c:v>Realme 12 Pro</c:v>
                  </c:pt>
                  <c:pt idx="9">
                    <c:v>Redmi Note 13</c:v>
                  </c:pt>
                  <c:pt idx="10">
                    <c:v>Galaxy A35</c:v>
                  </c:pt>
                  <c:pt idx="11">
                    <c:v>Galaxy Buds</c:v>
                  </c:pt>
                  <c:pt idx="12">
                    <c:v>iPhone 15</c:v>
                  </c:pt>
                  <c:pt idx="13">
                    <c:v>Realme 12 Pro</c:v>
                  </c:pt>
                  <c:pt idx="14">
                    <c:v>Redmi Note 13</c:v>
                  </c:pt>
                  <c:pt idx="15">
                    <c:v>Galaxy A35</c:v>
                  </c:pt>
                  <c:pt idx="16">
                    <c:v>Galaxy Buds</c:v>
                  </c:pt>
                  <c:pt idx="17">
                    <c:v>iPhone 15</c:v>
                  </c:pt>
                  <c:pt idx="18">
                    <c:v>Realme 12 Pro</c:v>
                  </c:pt>
                  <c:pt idx="19">
                    <c:v>Redmi Note 13</c:v>
                  </c:pt>
                  <c:pt idx="20">
                    <c:v>Galaxy A35</c:v>
                  </c:pt>
                  <c:pt idx="21">
                    <c:v>Galaxy Buds</c:v>
                  </c:pt>
                  <c:pt idx="22">
                    <c:v>iPhone 15</c:v>
                  </c:pt>
                  <c:pt idx="23">
                    <c:v>Realme 12 Pro</c:v>
                  </c:pt>
                  <c:pt idx="24">
                    <c:v>Redmi Note 13</c:v>
                  </c:pt>
                  <c:pt idx="25">
                    <c:v>Galaxy A35</c:v>
                  </c:pt>
                  <c:pt idx="26">
                    <c:v>Galaxy Buds</c:v>
                  </c:pt>
                  <c:pt idx="27">
                    <c:v>iPhone 15</c:v>
                  </c:pt>
                  <c:pt idx="28">
                    <c:v>Realme 12 Pro</c:v>
                  </c:pt>
                  <c:pt idx="29">
                    <c:v>Redmi Note 13</c:v>
                  </c:pt>
                </c:lvl>
                <c:lvl>
                  <c:pt idx="0">
                    <c:v>ABC Ltd</c:v>
                  </c:pt>
                  <c:pt idx="5">
                    <c:v>DEF Ltd</c:v>
                  </c:pt>
                  <c:pt idx="10">
                    <c:v>GHI Ltd</c:v>
                  </c:pt>
                  <c:pt idx="15">
                    <c:v>LMN Ltd</c:v>
                  </c:pt>
                  <c:pt idx="20">
                    <c:v>PQR Ltd</c:v>
                  </c:pt>
                  <c:pt idx="25">
                    <c:v>XYZ Pvt</c:v>
                  </c:pt>
                </c:lvl>
              </c:multiLvlStrCache>
            </c:multiLvlStrRef>
          </c:cat>
          <c:val>
            <c:numRef>
              <c:f>'TASK 6'!$F$5:$F$41</c:f>
              <c:numCache>
                <c:formatCode>General</c:formatCode>
                <c:ptCount val="30"/>
                <c:pt idx="0">
                  <c:v>2</c:v>
                </c:pt>
                <c:pt idx="5">
                  <c:v>2</c:v>
                </c:pt>
                <c:pt idx="10">
                  <c:v>2</c:v>
                </c:pt>
                <c:pt idx="15">
                  <c:v>1</c:v>
                </c:pt>
                <c:pt idx="20">
                  <c:v>1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61-45D5-AAE5-DD8536AA4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91770895"/>
        <c:axId val="2091764655"/>
        <c:axId val="0"/>
      </c:bar3DChart>
      <c:catAx>
        <c:axId val="209177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764655"/>
        <c:crosses val="autoZero"/>
        <c:auto val="1"/>
        <c:lblAlgn val="ctr"/>
        <c:lblOffset val="100"/>
        <c:noMultiLvlLbl val="0"/>
      </c:catAx>
      <c:valAx>
        <c:axId val="209176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77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[Mobile_Shop_Project.xlsx]TASK 6!PivotTable6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shade val="53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tint val="54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shade val="3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"/>
        <c:spPr>
          <a:solidFill>
            <a:schemeClr val="accent4">
              <a:shade val="39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7"/>
        <c:spPr>
          <a:solidFill>
            <a:schemeClr val="accent4">
              <a:shade val="4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8"/>
        <c:spPr>
          <a:solidFill>
            <a:schemeClr val="accent4">
              <a:shade val="4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9"/>
        <c:spPr>
          <a:solidFill>
            <a:schemeClr val="accent4">
              <a:shade val="52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0"/>
        <c:spPr>
          <a:solidFill>
            <a:schemeClr val="accent4">
              <a:shade val="5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1"/>
        <c:spPr>
          <a:solidFill>
            <a:schemeClr val="accent4">
              <a:shade val="61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"/>
        <c:spPr>
          <a:solidFill>
            <a:schemeClr val="accent4">
              <a:shade val="6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3"/>
        <c:spPr>
          <a:solidFill>
            <a:schemeClr val="accent4">
              <a:shade val="7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4"/>
        <c:spPr>
          <a:solidFill>
            <a:schemeClr val="accent4">
              <a:shade val="7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5"/>
        <c:spPr>
          <a:solidFill>
            <a:schemeClr val="accent4">
              <a:shade val="79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6"/>
        <c:spPr>
          <a:solidFill>
            <a:schemeClr val="accent4">
              <a:shade val="8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7"/>
        <c:spPr>
          <a:solidFill>
            <a:schemeClr val="accent4">
              <a:shade val="8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8"/>
        <c:spPr>
          <a:solidFill>
            <a:schemeClr val="accent4">
              <a:shade val="9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9"/>
        <c:spPr>
          <a:solidFill>
            <a:schemeClr val="accent4">
              <a:shade val="9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0"/>
        <c:spPr>
          <a:solidFill>
            <a:schemeClr val="accent4">
              <a:tint val="9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1"/>
        <c:spPr>
          <a:solidFill>
            <a:schemeClr val="accent4">
              <a:tint val="9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2"/>
        <c:spPr>
          <a:solidFill>
            <a:schemeClr val="accent4">
              <a:tint val="89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3"/>
        <c:spPr>
          <a:solidFill>
            <a:schemeClr val="accent4">
              <a:tint val="8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4"/>
        <c:spPr>
          <a:solidFill>
            <a:schemeClr val="accent4">
              <a:tint val="8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5"/>
        <c:spPr>
          <a:solidFill>
            <a:schemeClr val="accent4">
              <a:tint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6"/>
        <c:spPr>
          <a:solidFill>
            <a:schemeClr val="accent4">
              <a:tint val="71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7"/>
        <c:spPr>
          <a:solidFill>
            <a:schemeClr val="accent4">
              <a:tint val="6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8"/>
        <c:spPr>
          <a:solidFill>
            <a:schemeClr val="accent4">
              <a:tint val="62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9"/>
        <c:spPr>
          <a:solidFill>
            <a:schemeClr val="accent4">
              <a:tint val="5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0"/>
        <c:spPr>
          <a:solidFill>
            <a:schemeClr val="accent4">
              <a:tint val="5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1"/>
        <c:spPr>
          <a:solidFill>
            <a:schemeClr val="accent4">
              <a:tint val="49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2"/>
        <c:spPr>
          <a:solidFill>
            <a:schemeClr val="accent4">
              <a:tint val="4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3"/>
        <c:spPr>
          <a:solidFill>
            <a:schemeClr val="accent4">
              <a:tint val="4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4"/>
        <c:spPr>
          <a:solidFill>
            <a:schemeClr val="accent4">
              <a:tint val="3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5"/>
        <c:spPr>
          <a:solidFill>
            <a:schemeClr val="accent4">
              <a:shade val="3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6"/>
        <c:spPr>
          <a:solidFill>
            <a:schemeClr val="accent4">
              <a:shade val="39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7"/>
        <c:spPr>
          <a:solidFill>
            <a:schemeClr val="accent4">
              <a:shade val="4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8"/>
        <c:spPr>
          <a:solidFill>
            <a:schemeClr val="accent4">
              <a:shade val="4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9"/>
        <c:spPr>
          <a:solidFill>
            <a:schemeClr val="accent4">
              <a:shade val="52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0"/>
        <c:spPr>
          <a:solidFill>
            <a:schemeClr val="accent4">
              <a:shade val="5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1"/>
        <c:spPr>
          <a:solidFill>
            <a:schemeClr val="accent4">
              <a:shade val="61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2"/>
        <c:spPr>
          <a:solidFill>
            <a:schemeClr val="accent4">
              <a:shade val="6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3"/>
        <c:spPr>
          <a:solidFill>
            <a:schemeClr val="accent4">
              <a:shade val="7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4"/>
        <c:spPr>
          <a:solidFill>
            <a:schemeClr val="accent4">
              <a:shade val="7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5"/>
        <c:spPr>
          <a:solidFill>
            <a:schemeClr val="accent4">
              <a:shade val="79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6"/>
        <c:spPr>
          <a:solidFill>
            <a:schemeClr val="accent4">
              <a:shade val="8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7"/>
        <c:spPr>
          <a:solidFill>
            <a:schemeClr val="accent4">
              <a:shade val="8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8"/>
        <c:spPr>
          <a:solidFill>
            <a:schemeClr val="accent4">
              <a:shade val="9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9"/>
        <c:spPr>
          <a:solidFill>
            <a:schemeClr val="accent4">
              <a:shade val="9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0"/>
        <c:spPr>
          <a:solidFill>
            <a:schemeClr val="accent4">
              <a:tint val="9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1"/>
        <c:spPr>
          <a:solidFill>
            <a:schemeClr val="accent4">
              <a:tint val="9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2"/>
        <c:spPr>
          <a:solidFill>
            <a:schemeClr val="accent4">
              <a:tint val="89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3"/>
        <c:spPr>
          <a:solidFill>
            <a:schemeClr val="accent4">
              <a:tint val="8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4"/>
        <c:spPr>
          <a:solidFill>
            <a:schemeClr val="accent4">
              <a:tint val="8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5"/>
        <c:spPr>
          <a:solidFill>
            <a:schemeClr val="accent4">
              <a:tint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6"/>
        <c:spPr>
          <a:solidFill>
            <a:schemeClr val="accent4">
              <a:tint val="71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7"/>
        <c:spPr>
          <a:solidFill>
            <a:schemeClr val="accent4">
              <a:tint val="6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8"/>
        <c:spPr>
          <a:solidFill>
            <a:schemeClr val="accent4">
              <a:tint val="62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9"/>
        <c:spPr>
          <a:solidFill>
            <a:schemeClr val="accent4">
              <a:tint val="5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0"/>
        <c:spPr>
          <a:solidFill>
            <a:schemeClr val="accent4">
              <a:tint val="5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1"/>
        <c:spPr>
          <a:solidFill>
            <a:schemeClr val="accent4">
              <a:tint val="49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2"/>
        <c:spPr>
          <a:solidFill>
            <a:schemeClr val="accent4">
              <a:tint val="4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3"/>
        <c:spPr>
          <a:solidFill>
            <a:schemeClr val="accent4">
              <a:tint val="4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4"/>
        <c:spPr>
          <a:solidFill>
            <a:schemeClr val="accent4">
              <a:tint val="3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5"/>
        <c:spPr>
          <a:solidFill>
            <a:schemeClr val="accent4">
              <a:shade val="3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6"/>
        <c:spPr>
          <a:solidFill>
            <a:schemeClr val="accent4">
              <a:shade val="39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7"/>
        <c:spPr>
          <a:solidFill>
            <a:schemeClr val="accent4">
              <a:shade val="4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8"/>
        <c:spPr>
          <a:solidFill>
            <a:schemeClr val="accent4">
              <a:shade val="4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9"/>
        <c:spPr>
          <a:solidFill>
            <a:schemeClr val="accent4">
              <a:shade val="52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70"/>
        <c:spPr>
          <a:solidFill>
            <a:schemeClr val="accent4">
              <a:shade val="5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71"/>
        <c:spPr>
          <a:solidFill>
            <a:schemeClr val="accent4">
              <a:shade val="61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72"/>
        <c:spPr>
          <a:solidFill>
            <a:schemeClr val="accent4">
              <a:shade val="6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73"/>
        <c:spPr>
          <a:solidFill>
            <a:schemeClr val="accent4">
              <a:shade val="7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74"/>
        <c:spPr>
          <a:solidFill>
            <a:schemeClr val="accent4">
              <a:shade val="7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75"/>
        <c:spPr>
          <a:solidFill>
            <a:schemeClr val="accent4">
              <a:shade val="79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76"/>
        <c:spPr>
          <a:solidFill>
            <a:schemeClr val="accent4">
              <a:shade val="8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77"/>
        <c:spPr>
          <a:solidFill>
            <a:schemeClr val="accent4">
              <a:shade val="8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78"/>
        <c:spPr>
          <a:solidFill>
            <a:schemeClr val="accent4">
              <a:shade val="9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79"/>
        <c:spPr>
          <a:solidFill>
            <a:schemeClr val="accent4">
              <a:shade val="9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80"/>
        <c:spPr>
          <a:solidFill>
            <a:schemeClr val="accent4">
              <a:tint val="9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81"/>
        <c:spPr>
          <a:solidFill>
            <a:schemeClr val="accent4">
              <a:tint val="9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82"/>
        <c:spPr>
          <a:solidFill>
            <a:schemeClr val="accent4">
              <a:tint val="89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83"/>
        <c:spPr>
          <a:solidFill>
            <a:schemeClr val="accent4">
              <a:tint val="8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84"/>
        <c:spPr>
          <a:solidFill>
            <a:schemeClr val="accent4">
              <a:tint val="8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85"/>
        <c:spPr>
          <a:solidFill>
            <a:schemeClr val="accent4">
              <a:tint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86"/>
        <c:spPr>
          <a:solidFill>
            <a:schemeClr val="accent4">
              <a:tint val="71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87"/>
        <c:spPr>
          <a:solidFill>
            <a:schemeClr val="accent4">
              <a:tint val="6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88"/>
        <c:spPr>
          <a:solidFill>
            <a:schemeClr val="accent4">
              <a:tint val="62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89"/>
        <c:spPr>
          <a:solidFill>
            <a:schemeClr val="accent4">
              <a:tint val="5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90"/>
        <c:spPr>
          <a:solidFill>
            <a:schemeClr val="accent4">
              <a:tint val="5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91"/>
        <c:spPr>
          <a:solidFill>
            <a:schemeClr val="accent4">
              <a:tint val="49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92"/>
        <c:spPr>
          <a:solidFill>
            <a:schemeClr val="accent4">
              <a:tint val="4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93"/>
        <c:spPr>
          <a:solidFill>
            <a:schemeClr val="accent4">
              <a:tint val="4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94"/>
        <c:spPr>
          <a:solidFill>
            <a:schemeClr val="accent4">
              <a:tint val="3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95"/>
        <c:spPr>
          <a:solidFill>
            <a:schemeClr val="accent4">
              <a:shade val="3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96"/>
        <c:spPr>
          <a:solidFill>
            <a:schemeClr val="accent4">
              <a:shade val="39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97"/>
        <c:spPr>
          <a:solidFill>
            <a:schemeClr val="accent4">
              <a:shade val="4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98"/>
        <c:spPr>
          <a:solidFill>
            <a:schemeClr val="accent4">
              <a:shade val="4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99"/>
        <c:spPr>
          <a:solidFill>
            <a:schemeClr val="accent4">
              <a:shade val="52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00"/>
        <c:spPr>
          <a:solidFill>
            <a:schemeClr val="accent4">
              <a:shade val="5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01"/>
        <c:spPr>
          <a:solidFill>
            <a:schemeClr val="accent4">
              <a:shade val="61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02"/>
        <c:spPr>
          <a:solidFill>
            <a:schemeClr val="accent4">
              <a:shade val="6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03"/>
        <c:spPr>
          <a:solidFill>
            <a:schemeClr val="accent4">
              <a:shade val="7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04"/>
        <c:spPr>
          <a:solidFill>
            <a:schemeClr val="accent4">
              <a:shade val="7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05"/>
        <c:spPr>
          <a:solidFill>
            <a:schemeClr val="accent4">
              <a:shade val="79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06"/>
        <c:spPr>
          <a:solidFill>
            <a:schemeClr val="accent4">
              <a:shade val="8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07"/>
        <c:spPr>
          <a:solidFill>
            <a:schemeClr val="accent4">
              <a:shade val="8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08"/>
        <c:spPr>
          <a:solidFill>
            <a:schemeClr val="accent4">
              <a:shade val="9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09"/>
        <c:spPr>
          <a:solidFill>
            <a:schemeClr val="accent4">
              <a:shade val="9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10"/>
        <c:spPr>
          <a:solidFill>
            <a:schemeClr val="accent4">
              <a:tint val="9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11"/>
        <c:spPr>
          <a:solidFill>
            <a:schemeClr val="accent4">
              <a:tint val="9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12"/>
        <c:spPr>
          <a:solidFill>
            <a:schemeClr val="accent4">
              <a:tint val="89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13"/>
        <c:spPr>
          <a:solidFill>
            <a:schemeClr val="accent4">
              <a:tint val="8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14"/>
        <c:spPr>
          <a:solidFill>
            <a:schemeClr val="accent4">
              <a:tint val="8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15"/>
        <c:spPr>
          <a:solidFill>
            <a:schemeClr val="accent4">
              <a:tint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16"/>
        <c:spPr>
          <a:solidFill>
            <a:schemeClr val="accent4">
              <a:tint val="71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17"/>
        <c:spPr>
          <a:solidFill>
            <a:schemeClr val="accent4">
              <a:tint val="6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18"/>
        <c:spPr>
          <a:solidFill>
            <a:schemeClr val="accent4">
              <a:tint val="62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19"/>
        <c:spPr>
          <a:solidFill>
            <a:schemeClr val="accent4">
              <a:tint val="5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0"/>
        <c:spPr>
          <a:solidFill>
            <a:schemeClr val="accent4">
              <a:tint val="5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1"/>
        <c:spPr>
          <a:solidFill>
            <a:schemeClr val="accent4">
              <a:tint val="49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2"/>
        <c:spPr>
          <a:solidFill>
            <a:schemeClr val="accent4">
              <a:tint val="4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3"/>
        <c:spPr>
          <a:solidFill>
            <a:schemeClr val="accent4">
              <a:tint val="4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4"/>
        <c:spPr>
          <a:solidFill>
            <a:schemeClr val="accent4">
              <a:tint val="3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5"/>
        <c:spPr>
          <a:solidFill>
            <a:schemeClr val="accent4">
              <a:shade val="3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6"/>
        <c:spPr>
          <a:solidFill>
            <a:schemeClr val="accent4">
              <a:shade val="39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7"/>
        <c:spPr>
          <a:solidFill>
            <a:schemeClr val="accent4">
              <a:shade val="4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8"/>
        <c:spPr>
          <a:solidFill>
            <a:schemeClr val="accent4">
              <a:shade val="4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9"/>
        <c:spPr>
          <a:solidFill>
            <a:schemeClr val="accent4">
              <a:shade val="52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30"/>
        <c:spPr>
          <a:solidFill>
            <a:schemeClr val="accent4">
              <a:shade val="5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31"/>
        <c:spPr>
          <a:solidFill>
            <a:schemeClr val="accent4">
              <a:shade val="61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32"/>
        <c:spPr>
          <a:solidFill>
            <a:schemeClr val="accent4">
              <a:shade val="6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33"/>
        <c:spPr>
          <a:solidFill>
            <a:schemeClr val="accent4">
              <a:shade val="7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34"/>
        <c:spPr>
          <a:solidFill>
            <a:schemeClr val="accent4">
              <a:shade val="7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35"/>
        <c:spPr>
          <a:solidFill>
            <a:schemeClr val="accent4">
              <a:shade val="79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36"/>
        <c:spPr>
          <a:solidFill>
            <a:schemeClr val="accent4">
              <a:shade val="8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37"/>
        <c:spPr>
          <a:solidFill>
            <a:schemeClr val="accent4">
              <a:shade val="8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38"/>
        <c:spPr>
          <a:solidFill>
            <a:schemeClr val="accent4">
              <a:shade val="9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39"/>
        <c:spPr>
          <a:solidFill>
            <a:schemeClr val="accent4">
              <a:shade val="9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40"/>
        <c:spPr>
          <a:solidFill>
            <a:schemeClr val="accent4">
              <a:tint val="9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41"/>
        <c:spPr>
          <a:solidFill>
            <a:schemeClr val="accent4">
              <a:tint val="9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42"/>
        <c:spPr>
          <a:solidFill>
            <a:schemeClr val="accent4">
              <a:tint val="89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43"/>
        <c:spPr>
          <a:solidFill>
            <a:schemeClr val="accent4">
              <a:tint val="8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44"/>
        <c:spPr>
          <a:solidFill>
            <a:schemeClr val="accent4">
              <a:tint val="8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45"/>
        <c:spPr>
          <a:solidFill>
            <a:schemeClr val="accent4">
              <a:tint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46"/>
        <c:spPr>
          <a:solidFill>
            <a:schemeClr val="accent4">
              <a:tint val="71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47"/>
        <c:spPr>
          <a:solidFill>
            <a:schemeClr val="accent4">
              <a:tint val="6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48"/>
        <c:spPr>
          <a:solidFill>
            <a:schemeClr val="accent4">
              <a:tint val="62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49"/>
        <c:spPr>
          <a:solidFill>
            <a:schemeClr val="accent4">
              <a:tint val="5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50"/>
        <c:spPr>
          <a:solidFill>
            <a:schemeClr val="accent4">
              <a:tint val="5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51"/>
        <c:spPr>
          <a:solidFill>
            <a:schemeClr val="accent4">
              <a:tint val="49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52"/>
        <c:spPr>
          <a:solidFill>
            <a:schemeClr val="accent4">
              <a:tint val="4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53"/>
        <c:spPr>
          <a:solidFill>
            <a:schemeClr val="accent4">
              <a:tint val="4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54"/>
        <c:spPr>
          <a:solidFill>
            <a:schemeClr val="accent4">
              <a:tint val="3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055555555555558E-2"/>
          <c:y val="0.32200896762904635"/>
          <c:w val="0.81388888888888888"/>
          <c:h val="0.49732465733449988"/>
        </c:manualLayout>
      </c:layout>
      <c:pie3DChart>
        <c:varyColors val="1"/>
        <c:ser>
          <c:idx val="0"/>
          <c:order val="0"/>
          <c:tx>
            <c:strRef>
              <c:f>'TASK 6'!$B$3:$B$4</c:f>
              <c:strCache>
                <c:ptCount val="1"/>
                <c:pt idx="0">
                  <c:v>Cash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0A98-47C7-92F7-7F1C16CBC1B6}"/>
              </c:ext>
            </c:extLst>
          </c:dPt>
          <c:dPt>
            <c:idx val="1"/>
            <c:bubble3D val="0"/>
            <c:spPr>
              <a:solidFill>
                <a:schemeClr val="accent4">
                  <a:shade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0A98-47C7-92F7-7F1C16CBC1B6}"/>
              </c:ext>
            </c:extLst>
          </c:dPt>
          <c:dPt>
            <c:idx val="2"/>
            <c:bubble3D val="0"/>
            <c:spPr>
              <a:solidFill>
                <a:schemeClr val="accent4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0A98-47C7-92F7-7F1C16CBC1B6}"/>
              </c:ext>
            </c:extLst>
          </c:dPt>
          <c:dPt>
            <c:idx val="3"/>
            <c:bubble3D val="0"/>
            <c:spPr>
              <a:solidFill>
                <a:schemeClr val="accent4">
                  <a:shade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0A98-47C7-92F7-7F1C16CBC1B6}"/>
              </c:ext>
            </c:extLst>
          </c:dPt>
          <c:dPt>
            <c:idx val="4"/>
            <c:bubble3D val="0"/>
            <c:spPr>
              <a:solidFill>
                <a:schemeClr val="accent4">
                  <a:shade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0A98-47C7-92F7-7F1C16CBC1B6}"/>
              </c:ext>
            </c:extLst>
          </c:dPt>
          <c:dPt>
            <c:idx val="5"/>
            <c:bubble3D val="0"/>
            <c:spPr>
              <a:solidFill>
                <a:schemeClr val="accent4">
                  <a:shade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0A98-47C7-92F7-7F1C16CBC1B6}"/>
              </c:ext>
            </c:extLst>
          </c:dPt>
          <c:dPt>
            <c:idx val="6"/>
            <c:bubble3D val="0"/>
            <c:spPr>
              <a:solidFill>
                <a:schemeClr val="accent4">
                  <a:shade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0A98-47C7-92F7-7F1C16CBC1B6}"/>
              </c:ext>
            </c:extLst>
          </c:dPt>
          <c:dPt>
            <c:idx val="7"/>
            <c:bubble3D val="0"/>
            <c:spPr>
              <a:solidFill>
                <a:schemeClr val="accent4">
                  <a:shade val="6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0A98-47C7-92F7-7F1C16CBC1B6}"/>
              </c:ext>
            </c:extLst>
          </c:dPt>
          <c:dPt>
            <c:idx val="8"/>
            <c:bubble3D val="0"/>
            <c:spPr>
              <a:solidFill>
                <a:schemeClr val="accent4">
                  <a:shade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0A98-47C7-92F7-7F1C16CBC1B6}"/>
              </c:ext>
            </c:extLst>
          </c:dPt>
          <c:dPt>
            <c:idx val="9"/>
            <c:bubble3D val="0"/>
            <c:spPr>
              <a:solidFill>
                <a:schemeClr val="accent4">
                  <a:shade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0A98-47C7-92F7-7F1C16CBC1B6}"/>
              </c:ext>
            </c:extLst>
          </c:dPt>
          <c:dPt>
            <c:idx val="10"/>
            <c:bubble3D val="0"/>
            <c:spPr>
              <a:solidFill>
                <a:schemeClr val="accent4">
                  <a:shade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0A98-47C7-92F7-7F1C16CBC1B6}"/>
              </c:ext>
            </c:extLst>
          </c:dPt>
          <c:dPt>
            <c:idx val="11"/>
            <c:bubble3D val="0"/>
            <c:spPr>
              <a:solidFill>
                <a:schemeClr val="accent4">
                  <a:shade val="8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0A98-47C7-92F7-7F1C16CBC1B6}"/>
              </c:ext>
            </c:extLst>
          </c:dPt>
          <c:dPt>
            <c:idx val="12"/>
            <c:bubble3D val="0"/>
            <c:spPr>
              <a:solidFill>
                <a:schemeClr val="accent4">
                  <a:shade val="8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2-0A98-47C7-92F7-7F1C16CBC1B6}"/>
              </c:ext>
            </c:extLst>
          </c:dPt>
          <c:dPt>
            <c:idx val="13"/>
            <c:bubble3D val="0"/>
            <c:spPr>
              <a:solidFill>
                <a:schemeClr val="accent4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0A98-47C7-92F7-7F1C16CBC1B6}"/>
              </c:ext>
            </c:extLst>
          </c:dPt>
          <c:dPt>
            <c:idx val="14"/>
            <c:bubble3D val="0"/>
            <c:spPr>
              <a:solidFill>
                <a:schemeClr val="accent4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4-0A98-47C7-92F7-7F1C16CBC1B6}"/>
              </c:ext>
            </c:extLst>
          </c:dPt>
          <c:dPt>
            <c:idx val="15"/>
            <c:bubble3D val="0"/>
            <c:spPr>
              <a:solidFill>
                <a:schemeClr val="accent4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0A98-47C7-92F7-7F1C16CBC1B6}"/>
              </c:ext>
            </c:extLst>
          </c:dPt>
          <c:dPt>
            <c:idx val="16"/>
            <c:bubble3D val="0"/>
            <c:spPr>
              <a:solidFill>
                <a:schemeClr val="accent4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6-0A98-47C7-92F7-7F1C16CBC1B6}"/>
              </c:ext>
            </c:extLst>
          </c:dPt>
          <c:dPt>
            <c:idx val="17"/>
            <c:bubble3D val="0"/>
            <c:spPr>
              <a:solidFill>
                <a:schemeClr val="accent4">
                  <a:tint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0A98-47C7-92F7-7F1C16CBC1B6}"/>
              </c:ext>
            </c:extLst>
          </c:dPt>
          <c:dPt>
            <c:idx val="18"/>
            <c:bubble3D val="0"/>
            <c:spPr>
              <a:solidFill>
                <a:schemeClr val="accent4">
                  <a:tint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8-0A98-47C7-92F7-7F1C16CBC1B6}"/>
              </c:ext>
            </c:extLst>
          </c:dPt>
          <c:dPt>
            <c:idx val="19"/>
            <c:bubble3D val="0"/>
            <c:spPr>
              <a:solidFill>
                <a:schemeClr val="accent4">
                  <a:tint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0A98-47C7-92F7-7F1C16CBC1B6}"/>
              </c:ext>
            </c:extLst>
          </c:dPt>
          <c:dPt>
            <c:idx val="20"/>
            <c:bubble3D val="0"/>
            <c:spPr>
              <a:solidFill>
                <a:schemeClr val="accent4">
                  <a:tint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A-0A98-47C7-92F7-7F1C16CBC1B6}"/>
              </c:ext>
            </c:extLst>
          </c:dPt>
          <c:dPt>
            <c:idx val="21"/>
            <c:bubble3D val="0"/>
            <c:spPr>
              <a:solidFill>
                <a:schemeClr val="accent4">
                  <a:tint val="7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0A98-47C7-92F7-7F1C16CBC1B6}"/>
              </c:ext>
            </c:extLst>
          </c:dPt>
          <c:dPt>
            <c:idx val="22"/>
            <c:bubble3D val="0"/>
            <c:spPr>
              <a:solidFill>
                <a:schemeClr val="accent4">
                  <a:tint val="6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C-0A98-47C7-92F7-7F1C16CBC1B6}"/>
              </c:ext>
            </c:extLst>
          </c:dPt>
          <c:dPt>
            <c:idx val="23"/>
            <c:bubble3D val="0"/>
            <c:spPr>
              <a:solidFill>
                <a:schemeClr val="accent4">
                  <a:tint val="6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0A98-47C7-92F7-7F1C16CBC1B6}"/>
              </c:ext>
            </c:extLst>
          </c:dPt>
          <c:dPt>
            <c:idx val="24"/>
            <c:bubble3D val="0"/>
            <c:spPr>
              <a:solidFill>
                <a:schemeClr val="accent4">
                  <a:tint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E-0A98-47C7-92F7-7F1C16CBC1B6}"/>
              </c:ext>
            </c:extLst>
          </c:dPt>
          <c:dPt>
            <c:idx val="25"/>
            <c:bubble3D val="0"/>
            <c:spPr>
              <a:solidFill>
                <a:schemeClr val="accent4">
                  <a:tint val="5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0A98-47C7-92F7-7F1C16CBC1B6}"/>
              </c:ext>
            </c:extLst>
          </c:dPt>
          <c:dPt>
            <c:idx val="26"/>
            <c:bubble3D val="0"/>
            <c:spPr>
              <a:solidFill>
                <a:schemeClr val="accent4">
                  <a:tint val="4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0-0A98-47C7-92F7-7F1C16CBC1B6}"/>
              </c:ext>
            </c:extLst>
          </c:dPt>
          <c:dPt>
            <c:idx val="27"/>
            <c:bubble3D val="0"/>
            <c:spPr>
              <a:solidFill>
                <a:schemeClr val="accent4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0A98-47C7-92F7-7F1C16CBC1B6}"/>
              </c:ext>
            </c:extLst>
          </c:dPt>
          <c:dPt>
            <c:idx val="28"/>
            <c:bubble3D val="0"/>
            <c:spPr>
              <a:solidFill>
                <a:schemeClr val="accent4">
                  <a:tint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2-0A98-47C7-92F7-7F1C16CBC1B6}"/>
              </c:ext>
            </c:extLst>
          </c:dPt>
          <c:dPt>
            <c:idx val="29"/>
            <c:bubble3D val="0"/>
            <c:spPr>
              <a:solidFill>
                <a:schemeClr val="accent4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0A98-47C7-92F7-7F1C16CBC1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4">
                        <a:shade val="5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'TASK 6'!$A$5:$A$41</c:f>
              <c:multiLvlStrCache>
                <c:ptCount val="30"/>
                <c:lvl>
                  <c:pt idx="0">
                    <c:v>Galaxy A35</c:v>
                  </c:pt>
                  <c:pt idx="1">
                    <c:v>Galaxy Buds</c:v>
                  </c:pt>
                  <c:pt idx="2">
                    <c:v>iPhone 15</c:v>
                  </c:pt>
                  <c:pt idx="3">
                    <c:v>Realme 12 Pro</c:v>
                  </c:pt>
                  <c:pt idx="4">
                    <c:v>Redmi Note 13</c:v>
                  </c:pt>
                  <c:pt idx="5">
                    <c:v>Galaxy A35</c:v>
                  </c:pt>
                  <c:pt idx="6">
                    <c:v>Galaxy Buds</c:v>
                  </c:pt>
                  <c:pt idx="7">
                    <c:v>iPhone 15</c:v>
                  </c:pt>
                  <c:pt idx="8">
                    <c:v>Realme 12 Pro</c:v>
                  </c:pt>
                  <c:pt idx="9">
                    <c:v>Redmi Note 13</c:v>
                  </c:pt>
                  <c:pt idx="10">
                    <c:v>Galaxy A35</c:v>
                  </c:pt>
                  <c:pt idx="11">
                    <c:v>Galaxy Buds</c:v>
                  </c:pt>
                  <c:pt idx="12">
                    <c:v>iPhone 15</c:v>
                  </c:pt>
                  <c:pt idx="13">
                    <c:v>Realme 12 Pro</c:v>
                  </c:pt>
                  <c:pt idx="14">
                    <c:v>Redmi Note 13</c:v>
                  </c:pt>
                  <c:pt idx="15">
                    <c:v>Galaxy A35</c:v>
                  </c:pt>
                  <c:pt idx="16">
                    <c:v>Galaxy Buds</c:v>
                  </c:pt>
                  <c:pt idx="17">
                    <c:v>iPhone 15</c:v>
                  </c:pt>
                  <c:pt idx="18">
                    <c:v>Realme 12 Pro</c:v>
                  </c:pt>
                  <c:pt idx="19">
                    <c:v>Redmi Note 13</c:v>
                  </c:pt>
                  <c:pt idx="20">
                    <c:v>Galaxy A35</c:v>
                  </c:pt>
                  <c:pt idx="21">
                    <c:v>Galaxy Buds</c:v>
                  </c:pt>
                  <c:pt idx="22">
                    <c:v>iPhone 15</c:v>
                  </c:pt>
                  <c:pt idx="23">
                    <c:v>Realme 12 Pro</c:v>
                  </c:pt>
                  <c:pt idx="24">
                    <c:v>Redmi Note 13</c:v>
                  </c:pt>
                  <c:pt idx="25">
                    <c:v>Galaxy A35</c:v>
                  </c:pt>
                  <c:pt idx="26">
                    <c:v>Galaxy Buds</c:v>
                  </c:pt>
                  <c:pt idx="27">
                    <c:v>iPhone 15</c:v>
                  </c:pt>
                  <c:pt idx="28">
                    <c:v>Realme 12 Pro</c:v>
                  </c:pt>
                  <c:pt idx="29">
                    <c:v>Redmi Note 13</c:v>
                  </c:pt>
                </c:lvl>
                <c:lvl>
                  <c:pt idx="0">
                    <c:v>ABC Ltd</c:v>
                  </c:pt>
                  <c:pt idx="5">
                    <c:v>DEF Ltd</c:v>
                  </c:pt>
                  <c:pt idx="10">
                    <c:v>GHI Ltd</c:v>
                  </c:pt>
                  <c:pt idx="15">
                    <c:v>LMN Ltd</c:v>
                  </c:pt>
                  <c:pt idx="20">
                    <c:v>PQR Ltd</c:v>
                  </c:pt>
                  <c:pt idx="25">
                    <c:v>XYZ Pvt</c:v>
                  </c:pt>
                </c:lvl>
              </c:multiLvlStrCache>
            </c:multiLvlStrRef>
          </c:cat>
          <c:val>
            <c:numRef>
              <c:f>'TASK 6'!$B$5:$B$41</c:f>
              <c:numCache>
                <c:formatCode>General</c:formatCode>
                <c:ptCount val="30"/>
                <c:pt idx="2">
                  <c:v>2</c:v>
                </c:pt>
                <c:pt idx="7">
                  <c:v>2</c:v>
                </c:pt>
                <c:pt idx="12">
                  <c:v>2</c:v>
                </c:pt>
                <c:pt idx="17">
                  <c:v>2</c:v>
                </c:pt>
                <c:pt idx="22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8-47C7-92F7-7F1C16CBC1B6}"/>
            </c:ext>
          </c:extLst>
        </c:ser>
        <c:ser>
          <c:idx val="1"/>
          <c:order val="1"/>
          <c:tx>
            <c:strRef>
              <c:f>'TASK 6'!$C$3:$C$4</c:f>
              <c:strCache>
                <c:ptCount val="1"/>
                <c:pt idx="0">
                  <c:v>Credit Card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4-0A98-47C7-92F7-7F1C16CBC1B6}"/>
              </c:ext>
            </c:extLst>
          </c:dPt>
          <c:dPt>
            <c:idx val="1"/>
            <c:bubble3D val="0"/>
            <c:spPr>
              <a:solidFill>
                <a:schemeClr val="accent4">
                  <a:shade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0A98-47C7-92F7-7F1C16CBC1B6}"/>
              </c:ext>
            </c:extLst>
          </c:dPt>
          <c:dPt>
            <c:idx val="2"/>
            <c:bubble3D val="0"/>
            <c:spPr>
              <a:solidFill>
                <a:schemeClr val="accent4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6-0A98-47C7-92F7-7F1C16CBC1B6}"/>
              </c:ext>
            </c:extLst>
          </c:dPt>
          <c:dPt>
            <c:idx val="3"/>
            <c:bubble3D val="0"/>
            <c:spPr>
              <a:solidFill>
                <a:schemeClr val="accent4">
                  <a:shade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0A98-47C7-92F7-7F1C16CBC1B6}"/>
              </c:ext>
            </c:extLst>
          </c:dPt>
          <c:dPt>
            <c:idx val="4"/>
            <c:bubble3D val="0"/>
            <c:spPr>
              <a:solidFill>
                <a:schemeClr val="accent4">
                  <a:shade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8-0A98-47C7-92F7-7F1C16CBC1B6}"/>
              </c:ext>
            </c:extLst>
          </c:dPt>
          <c:dPt>
            <c:idx val="5"/>
            <c:bubble3D val="0"/>
            <c:spPr>
              <a:solidFill>
                <a:schemeClr val="accent4">
                  <a:shade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0A98-47C7-92F7-7F1C16CBC1B6}"/>
              </c:ext>
            </c:extLst>
          </c:dPt>
          <c:dPt>
            <c:idx val="6"/>
            <c:bubble3D val="0"/>
            <c:spPr>
              <a:solidFill>
                <a:schemeClr val="accent4">
                  <a:shade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A-0A98-47C7-92F7-7F1C16CBC1B6}"/>
              </c:ext>
            </c:extLst>
          </c:dPt>
          <c:dPt>
            <c:idx val="7"/>
            <c:bubble3D val="0"/>
            <c:spPr>
              <a:solidFill>
                <a:schemeClr val="accent4">
                  <a:shade val="6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0A98-47C7-92F7-7F1C16CBC1B6}"/>
              </c:ext>
            </c:extLst>
          </c:dPt>
          <c:dPt>
            <c:idx val="8"/>
            <c:bubble3D val="0"/>
            <c:spPr>
              <a:solidFill>
                <a:schemeClr val="accent4">
                  <a:shade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C-0A98-47C7-92F7-7F1C16CBC1B6}"/>
              </c:ext>
            </c:extLst>
          </c:dPt>
          <c:dPt>
            <c:idx val="9"/>
            <c:bubble3D val="0"/>
            <c:spPr>
              <a:solidFill>
                <a:schemeClr val="accent4">
                  <a:shade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0A98-47C7-92F7-7F1C16CBC1B6}"/>
              </c:ext>
            </c:extLst>
          </c:dPt>
          <c:dPt>
            <c:idx val="10"/>
            <c:bubble3D val="0"/>
            <c:spPr>
              <a:solidFill>
                <a:schemeClr val="accent4">
                  <a:shade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E-0A98-47C7-92F7-7F1C16CBC1B6}"/>
              </c:ext>
            </c:extLst>
          </c:dPt>
          <c:dPt>
            <c:idx val="11"/>
            <c:bubble3D val="0"/>
            <c:spPr>
              <a:solidFill>
                <a:schemeClr val="accent4">
                  <a:shade val="8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0A98-47C7-92F7-7F1C16CBC1B6}"/>
              </c:ext>
            </c:extLst>
          </c:dPt>
          <c:dPt>
            <c:idx val="12"/>
            <c:bubble3D val="0"/>
            <c:spPr>
              <a:solidFill>
                <a:schemeClr val="accent4">
                  <a:shade val="8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0-0A98-47C7-92F7-7F1C16CBC1B6}"/>
              </c:ext>
            </c:extLst>
          </c:dPt>
          <c:dPt>
            <c:idx val="13"/>
            <c:bubble3D val="0"/>
            <c:spPr>
              <a:solidFill>
                <a:schemeClr val="accent4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0A98-47C7-92F7-7F1C16CBC1B6}"/>
              </c:ext>
            </c:extLst>
          </c:dPt>
          <c:dPt>
            <c:idx val="14"/>
            <c:bubble3D val="0"/>
            <c:spPr>
              <a:solidFill>
                <a:schemeClr val="accent4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2-0A98-47C7-92F7-7F1C16CBC1B6}"/>
              </c:ext>
            </c:extLst>
          </c:dPt>
          <c:dPt>
            <c:idx val="15"/>
            <c:bubble3D val="0"/>
            <c:spPr>
              <a:solidFill>
                <a:schemeClr val="accent4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0A98-47C7-92F7-7F1C16CBC1B6}"/>
              </c:ext>
            </c:extLst>
          </c:dPt>
          <c:dPt>
            <c:idx val="16"/>
            <c:bubble3D val="0"/>
            <c:spPr>
              <a:solidFill>
                <a:schemeClr val="accent4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4-0A98-47C7-92F7-7F1C16CBC1B6}"/>
              </c:ext>
            </c:extLst>
          </c:dPt>
          <c:dPt>
            <c:idx val="17"/>
            <c:bubble3D val="0"/>
            <c:spPr>
              <a:solidFill>
                <a:schemeClr val="accent4">
                  <a:tint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0A98-47C7-92F7-7F1C16CBC1B6}"/>
              </c:ext>
            </c:extLst>
          </c:dPt>
          <c:dPt>
            <c:idx val="18"/>
            <c:bubble3D val="0"/>
            <c:spPr>
              <a:solidFill>
                <a:schemeClr val="accent4">
                  <a:tint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6-0A98-47C7-92F7-7F1C16CBC1B6}"/>
              </c:ext>
            </c:extLst>
          </c:dPt>
          <c:dPt>
            <c:idx val="19"/>
            <c:bubble3D val="0"/>
            <c:spPr>
              <a:solidFill>
                <a:schemeClr val="accent4">
                  <a:tint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0A98-47C7-92F7-7F1C16CBC1B6}"/>
              </c:ext>
            </c:extLst>
          </c:dPt>
          <c:dPt>
            <c:idx val="20"/>
            <c:bubble3D val="0"/>
            <c:spPr>
              <a:solidFill>
                <a:schemeClr val="accent4">
                  <a:tint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8-0A98-47C7-92F7-7F1C16CBC1B6}"/>
              </c:ext>
            </c:extLst>
          </c:dPt>
          <c:dPt>
            <c:idx val="21"/>
            <c:bubble3D val="0"/>
            <c:spPr>
              <a:solidFill>
                <a:schemeClr val="accent4">
                  <a:tint val="7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0A98-47C7-92F7-7F1C16CBC1B6}"/>
              </c:ext>
            </c:extLst>
          </c:dPt>
          <c:dPt>
            <c:idx val="22"/>
            <c:bubble3D val="0"/>
            <c:spPr>
              <a:solidFill>
                <a:schemeClr val="accent4">
                  <a:tint val="6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A-0A98-47C7-92F7-7F1C16CBC1B6}"/>
              </c:ext>
            </c:extLst>
          </c:dPt>
          <c:dPt>
            <c:idx val="23"/>
            <c:bubble3D val="0"/>
            <c:spPr>
              <a:solidFill>
                <a:schemeClr val="accent4">
                  <a:tint val="6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0A98-47C7-92F7-7F1C16CBC1B6}"/>
              </c:ext>
            </c:extLst>
          </c:dPt>
          <c:dPt>
            <c:idx val="24"/>
            <c:bubble3D val="0"/>
            <c:spPr>
              <a:solidFill>
                <a:schemeClr val="accent4">
                  <a:tint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C-0A98-47C7-92F7-7F1C16CBC1B6}"/>
              </c:ext>
            </c:extLst>
          </c:dPt>
          <c:dPt>
            <c:idx val="25"/>
            <c:bubble3D val="0"/>
            <c:spPr>
              <a:solidFill>
                <a:schemeClr val="accent4">
                  <a:tint val="5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0A98-47C7-92F7-7F1C16CBC1B6}"/>
              </c:ext>
            </c:extLst>
          </c:dPt>
          <c:dPt>
            <c:idx val="26"/>
            <c:bubble3D val="0"/>
            <c:spPr>
              <a:solidFill>
                <a:schemeClr val="accent4">
                  <a:tint val="4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E-0A98-47C7-92F7-7F1C16CBC1B6}"/>
              </c:ext>
            </c:extLst>
          </c:dPt>
          <c:dPt>
            <c:idx val="27"/>
            <c:bubble3D val="0"/>
            <c:spPr>
              <a:solidFill>
                <a:schemeClr val="accent4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0A98-47C7-92F7-7F1C16CBC1B6}"/>
              </c:ext>
            </c:extLst>
          </c:dPt>
          <c:dPt>
            <c:idx val="28"/>
            <c:bubble3D val="0"/>
            <c:spPr>
              <a:solidFill>
                <a:schemeClr val="accent4">
                  <a:tint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0-0A98-47C7-92F7-7F1C16CBC1B6}"/>
              </c:ext>
            </c:extLst>
          </c:dPt>
          <c:dPt>
            <c:idx val="29"/>
            <c:bubble3D val="0"/>
            <c:spPr>
              <a:solidFill>
                <a:schemeClr val="accent4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1-0A98-47C7-92F7-7F1C16CBC1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4">
                        <a:shade val="76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'TASK 6'!$A$5:$A$41</c:f>
              <c:multiLvlStrCache>
                <c:ptCount val="30"/>
                <c:lvl>
                  <c:pt idx="0">
                    <c:v>Galaxy A35</c:v>
                  </c:pt>
                  <c:pt idx="1">
                    <c:v>Galaxy Buds</c:v>
                  </c:pt>
                  <c:pt idx="2">
                    <c:v>iPhone 15</c:v>
                  </c:pt>
                  <c:pt idx="3">
                    <c:v>Realme 12 Pro</c:v>
                  </c:pt>
                  <c:pt idx="4">
                    <c:v>Redmi Note 13</c:v>
                  </c:pt>
                  <c:pt idx="5">
                    <c:v>Galaxy A35</c:v>
                  </c:pt>
                  <c:pt idx="6">
                    <c:v>Galaxy Buds</c:v>
                  </c:pt>
                  <c:pt idx="7">
                    <c:v>iPhone 15</c:v>
                  </c:pt>
                  <c:pt idx="8">
                    <c:v>Realme 12 Pro</c:v>
                  </c:pt>
                  <c:pt idx="9">
                    <c:v>Redmi Note 13</c:v>
                  </c:pt>
                  <c:pt idx="10">
                    <c:v>Galaxy A35</c:v>
                  </c:pt>
                  <c:pt idx="11">
                    <c:v>Galaxy Buds</c:v>
                  </c:pt>
                  <c:pt idx="12">
                    <c:v>iPhone 15</c:v>
                  </c:pt>
                  <c:pt idx="13">
                    <c:v>Realme 12 Pro</c:v>
                  </c:pt>
                  <c:pt idx="14">
                    <c:v>Redmi Note 13</c:v>
                  </c:pt>
                  <c:pt idx="15">
                    <c:v>Galaxy A35</c:v>
                  </c:pt>
                  <c:pt idx="16">
                    <c:v>Galaxy Buds</c:v>
                  </c:pt>
                  <c:pt idx="17">
                    <c:v>iPhone 15</c:v>
                  </c:pt>
                  <c:pt idx="18">
                    <c:v>Realme 12 Pro</c:v>
                  </c:pt>
                  <c:pt idx="19">
                    <c:v>Redmi Note 13</c:v>
                  </c:pt>
                  <c:pt idx="20">
                    <c:v>Galaxy A35</c:v>
                  </c:pt>
                  <c:pt idx="21">
                    <c:v>Galaxy Buds</c:v>
                  </c:pt>
                  <c:pt idx="22">
                    <c:v>iPhone 15</c:v>
                  </c:pt>
                  <c:pt idx="23">
                    <c:v>Realme 12 Pro</c:v>
                  </c:pt>
                  <c:pt idx="24">
                    <c:v>Redmi Note 13</c:v>
                  </c:pt>
                  <c:pt idx="25">
                    <c:v>Galaxy A35</c:v>
                  </c:pt>
                  <c:pt idx="26">
                    <c:v>Galaxy Buds</c:v>
                  </c:pt>
                  <c:pt idx="27">
                    <c:v>iPhone 15</c:v>
                  </c:pt>
                  <c:pt idx="28">
                    <c:v>Realme 12 Pro</c:v>
                  </c:pt>
                  <c:pt idx="29">
                    <c:v>Redmi Note 13</c:v>
                  </c:pt>
                </c:lvl>
                <c:lvl>
                  <c:pt idx="0">
                    <c:v>ABC Ltd</c:v>
                  </c:pt>
                  <c:pt idx="5">
                    <c:v>DEF Ltd</c:v>
                  </c:pt>
                  <c:pt idx="10">
                    <c:v>GHI Ltd</c:v>
                  </c:pt>
                  <c:pt idx="15">
                    <c:v>LMN Ltd</c:v>
                  </c:pt>
                  <c:pt idx="20">
                    <c:v>PQR Ltd</c:v>
                  </c:pt>
                  <c:pt idx="25">
                    <c:v>XYZ Pvt</c:v>
                  </c:pt>
                </c:lvl>
              </c:multiLvlStrCache>
            </c:multiLvlStrRef>
          </c:cat>
          <c:val>
            <c:numRef>
              <c:f>'TASK 6'!$C$5:$C$41</c:f>
              <c:numCache>
                <c:formatCode>General</c:formatCode>
                <c:ptCount val="30"/>
                <c:pt idx="4">
                  <c:v>2</c:v>
                </c:pt>
                <c:pt idx="9">
                  <c:v>1</c:v>
                </c:pt>
                <c:pt idx="14">
                  <c:v>2</c:v>
                </c:pt>
                <c:pt idx="19">
                  <c:v>1</c:v>
                </c:pt>
                <c:pt idx="24">
                  <c:v>2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98-47C7-92F7-7F1C16CBC1B6}"/>
            </c:ext>
          </c:extLst>
        </c:ser>
        <c:ser>
          <c:idx val="2"/>
          <c:order val="2"/>
          <c:tx>
            <c:strRef>
              <c:f>'TASK 6'!$D$3:$D$4</c:f>
              <c:strCache>
                <c:ptCount val="1"/>
                <c:pt idx="0">
                  <c:v>Debit Card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2-0A98-47C7-92F7-7F1C16CBC1B6}"/>
              </c:ext>
            </c:extLst>
          </c:dPt>
          <c:dPt>
            <c:idx val="1"/>
            <c:bubble3D val="0"/>
            <c:spPr>
              <a:solidFill>
                <a:schemeClr val="accent4">
                  <a:shade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3-0A98-47C7-92F7-7F1C16CBC1B6}"/>
              </c:ext>
            </c:extLst>
          </c:dPt>
          <c:dPt>
            <c:idx val="2"/>
            <c:bubble3D val="0"/>
            <c:spPr>
              <a:solidFill>
                <a:schemeClr val="accent4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4-0A98-47C7-92F7-7F1C16CBC1B6}"/>
              </c:ext>
            </c:extLst>
          </c:dPt>
          <c:dPt>
            <c:idx val="3"/>
            <c:bubble3D val="0"/>
            <c:spPr>
              <a:solidFill>
                <a:schemeClr val="accent4">
                  <a:shade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5-0A98-47C7-92F7-7F1C16CBC1B6}"/>
              </c:ext>
            </c:extLst>
          </c:dPt>
          <c:dPt>
            <c:idx val="4"/>
            <c:bubble3D val="0"/>
            <c:spPr>
              <a:solidFill>
                <a:schemeClr val="accent4">
                  <a:shade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6-0A98-47C7-92F7-7F1C16CBC1B6}"/>
              </c:ext>
            </c:extLst>
          </c:dPt>
          <c:dPt>
            <c:idx val="5"/>
            <c:bubble3D val="0"/>
            <c:spPr>
              <a:solidFill>
                <a:schemeClr val="accent4">
                  <a:shade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7-0A98-47C7-92F7-7F1C16CBC1B6}"/>
              </c:ext>
            </c:extLst>
          </c:dPt>
          <c:dPt>
            <c:idx val="6"/>
            <c:bubble3D val="0"/>
            <c:spPr>
              <a:solidFill>
                <a:schemeClr val="accent4">
                  <a:shade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8-0A98-47C7-92F7-7F1C16CBC1B6}"/>
              </c:ext>
            </c:extLst>
          </c:dPt>
          <c:dPt>
            <c:idx val="7"/>
            <c:bubble3D val="0"/>
            <c:spPr>
              <a:solidFill>
                <a:schemeClr val="accent4">
                  <a:shade val="6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9-0A98-47C7-92F7-7F1C16CBC1B6}"/>
              </c:ext>
            </c:extLst>
          </c:dPt>
          <c:dPt>
            <c:idx val="8"/>
            <c:bubble3D val="0"/>
            <c:spPr>
              <a:solidFill>
                <a:schemeClr val="accent4">
                  <a:shade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A-0A98-47C7-92F7-7F1C16CBC1B6}"/>
              </c:ext>
            </c:extLst>
          </c:dPt>
          <c:dPt>
            <c:idx val="9"/>
            <c:bubble3D val="0"/>
            <c:spPr>
              <a:solidFill>
                <a:schemeClr val="accent4">
                  <a:shade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B-0A98-47C7-92F7-7F1C16CBC1B6}"/>
              </c:ext>
            </c:extLst>
          </c:dPt>
          <c:dPt>
            <c:idx val="10"/>
            <c:bubble3D val="0"/>
            <c:spPr>
              <a:solidFill>
                <a:schemeClr val="accent4">
                  <a:shade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C-0A98-47C7-92F7-7F1C16CBC1B6}"/>
              </c:ext>
            </c:extLst>
          </c:dPt>
          <c:dPt>
            <c:idx val="11"/>
            <c:bubble3D val="0"/>
            <c:spPr>
              <a:solidFill>
                <a:schemeClr val="accent4">
                  <a:shade val="8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D-0A98-47C7-92F7-7F1C16CBC1B6}"/>
              </c:ext>
            </c:extLst>
          </c:dPt>
          <c:dPt>
            <c:idx val="12"/>
            <c:bubble3D val="0"/>
            <c:spPr>
              <a:solidFill>
                <a:schemeClr val="accent4">
                  <a:shade val="8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E-0A98-47C7-92F7-7F1C16CBC1B6}"/>
              </c:ext>
            </c:extLst>
          </c:dPt>
          <c:dPt>
            <c:idx val="13"/>
            <c:bubble3D val="0"/>
            <c:spPr>
              <a:solidFill>
                <a:schemeClr val="accent4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F-0A98-47C7-92F7-7F1C16CBC1B6}"/>
              </c:ext>
            </c:extLst>
          </c:dPt>
          <c:dPt>
            <c:idx val="14"/>
            <c:bubble3D val="0"/>
            <c:spPr>
              <a:solidFill>
                <a:schemeClr val="accent4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0-0A98-47C7-92F7-7F1C16CBC1B6}"/>
              </c:ext>
            </c:extLst>
          </c:dPt>
          <c:dPt>
            <c:idx val="15"/>
            <c:bubble3D val="0"/>
            <c:spPr>
              <a:solidFill>
                <a:schemeClr val="accent4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1-0A98-47C7-92F7-7F1C16CBC1B6}"/>
              </c:ext>
            </c:extLst>
          </c:dPt>
          <c:dPt>
            <c:idx val="16"/>
            <c:bubble3D val="0"/>
            <c:spPr>
              <a:solidFill>
                <a:schemeClr val="accent4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2-0A98-47C7-92F7-7F1C16CBC1B6}"/>
              </c:ext>
            </c:extLst>
          </c:dPt>
          <c:dPt>
            <c:idx val="17"/>
            <c:bubble3D val="0"/>
            <c:spPr>
              <a:solidFill>
                <a:schemeClr val="accent4">
                  <a:tint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3-0A98-47C7-92F7-7F1C16CBC1B6}"/>
              </c:ext>
            </c:extLst>
          </c:dPt>
          <c:dPt>
            <c:idx val="18"/>
            <c:bubble3D val="0"/>
            <c:spPr>
              <a:solidFill>
                <a:schemeClr val="accent4">
                  <a:tint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4-0A98-47C7-92F7-7F1C16CBC1B6}"/>
              </c:ext>
            </c:extLst>
          </c:dPt>
          <c:dPt>
            <c:idx val="19"/>
            <c:bubble3D val="0"/>
            <c:spPr>
              <a:solidFill>
                <a:schemeClr val="accent4">
                  <a:tint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5-0A98-47C7-92F7-7F1C16CBC1B6}"/>
              </c:ext>
            </c:extLst>
          </c:dPt>
          <c:dPt>
            <c:idx val="20"/>
            <c:bubble3D val="0"/>
            <c:spPr>
              <a:solidFill>
                <a:schemeClr val="accent4">
                  <a:tint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6-0A98-47C7-92F7-7F1C16CBC1B6}"/>
              </c:ext>
            </c:extLst>
          </c:dPt>
          <c:dPt>
            <c:idx val="21"/>
            <c:bubble3D val="0"/>
            <c:spPr>
              <a:solidFill>
                <a:schemeClr val="accent4">
                  <a:tint val="7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7-0A98-47C7-92F7-7F1C16CBC1B6}"/>
              </c:ext>
            </c:extLst>
          </c:dPt>
          <c:dPt>
            <c:idx val="22"/>
            <c:bubble3D val="0"/>
            <c:spPr>
              <a:solidFill>
                <a:schemeClr val="accent4">
                  <a:tint val="6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8-0A98-47C7-92F7-7F1C16CBC1B6}"/>
              </c:ext>
            </c:extLst>
          </c:dPt>
          <c:dPt>
            <c:idx val="23"/>
            <c:bubble3D val="0"/>
            <c:spPr>
              <a:solidFill>
                <a:schemeClr val="accent4">
                  <a:tint val="6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9-0A98-47C7-92F7-7F1C16CBC1B6}"/>
              </c:ext>
            </c:extLst>
          </c:dPt>
          <c:dPt>
            <c:idx val="24"/>
            <c:bubble3D val="0"/>
            <c:spPr>
              <a:solidFill>
                <a:schemeClr val="accent4">
                  <a:tint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A-0A98-47C7-92F7-7F1C16CBC1B6}"/>
              </c:ext>
            </c:extLst>
          </c:dPt>
          <c:dPt>
            <c:idx val="25"/>
            <c:bubble3D val="0"/>
            <c:spPr>
              <a:solidFill>
                <a:schemeClr val="accent4">
                  <a:tint val="5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B-0A98-47C7-92F7-7F1C16CBC1B6}"/>
              </c:ext>
            </c:extLst>
          </c:dPt>
          <c:dPt>
            <c:idx val="26"/>
            <c:bubble3D val="0"/>
            <c:spPr>
              <a:solidFill>
                <a:schemeClr val="accent4">
                  <a:tint val="4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C-0A98-47C7-92F7-7F1C16CBC1B6}"/>
              </c:ext>
            </c:extLst>
          </c:dPt>
          <c:dPt>
            <c:idx val="27"/>
            <c:bubble3D val="0"/>
            <c:spPr>
              <a:solidFill>
                <a:schemeClr val="accent4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D-0A98-47C7-92F7-7F1C16CBC1B6}"/>
              </c:ext>
            </c:extLst>
          </c:dPt>
          <c:dPt>
            <c:idx val="28"/>
            <c:bubble3D val="0"/>
            <c:spPr>
              <a:solidFill>
                <a:schemeClr val="accent4">
                  <a:tint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E-0A98-47C7-92F7-7F1C16CBC1B6}"/>
              </c:ext>
            </c:extLst>
          </c:dPt>
          <c:dPt>
            <c:idx val="29"/>
            <c:bubble3D val="0"/>
            <c:spPr>
              <a:solidFill>
                <a:schemeClr val="accent4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F-0A98-47C7-92F7-7F1C16CBC1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'TASK 6'!$A$5:$A$41</c:f>
              <c:multiLvlStrCache>
                <c:ptCount val="30"/>
                <c:lvl>
                  <c:pt idx="0">
                    <c:v>Galaxy A35</c:v>
                  </c:pt>
                  <c:pt idx="1">
                    <c:v>Galaxy Buds</c:v>
                  </c:pt>
                  <c:pt idx="2">
                    <c:v>iPhone 15</c:v>
                  </c:pt>
                  <c:pt idx="3">
                    <c:v>Realme 12 Pro</c:v>
                  </c:pt>
                  <c:pt idx="4">
                    <c:v>Redmi Note 13</c:v>
                  </c:pt>
                  <c:pt idx="5">
                    <c:v>Galaxy A35</c:v>
                  </c:pt>
                  <c:pt idx="6">
                    <c:v>Galaxy Buds</c:v>
                  </c:pt>
                  <c:pt idx="7">
                    <c:v>iPhone 15</c:v>
                  </c:pt>
                  <c:pt idx="8">
                    <c:v>Realme 12 Pro</c:v>
                  </c:pt>
                  <c:pt idx="9">
                    <c:v>Redmi Note 13</c:v>
                  </c:pt>
                  <c:pt idx="10">
                    <c:v>Galaxy A35</c:v>
                  </c:pt>
                  <c:pt idx="11">
                    <c:v>Galaxy Buds</c:v>
                  </c:pt>
                  <c:pt idx="12">
                    <c:v>iPhone 15</c:v>
                  </c:pt>
                  <c:pt idx="13">
                    <c:v>Realme 12 Pro</c:v>
                  </c:pt>
                  <c:pt idx="14">
                    <c:v>Redmi Note 13</c:v>
                  </c:pt>
                  <c:pt idx="15">
                    <c:v>Galaxy A35</c:v>
                  </c:pt>
                  <c:pt idx="16">
                    <c:v>Galaxy Buds</c:v>
                  </c:pt>
                  <c:pt idx="17">
                    <c:v>iPhone 15</c:v>
                  </c:pt>
                  <c:pt idx="18">
                    <c:v>Realme 12 Pro</c:v>
                  </c:pt>
                  <c:pt idx="19">
                    <c:v>Redmi Note 13</c:v>
                  </c:pt>
                  <c:pt idx="20">
                    <c:v>Galaxy A35</c:v>
                  </c:pt>
                  <c:pt idx="21">
                    <c:v>Galaxy Buds</c:v>
                  </c:pt>
                  <c:pt idx="22">
                    <c:v>iPhone 15</c:v>
                  </c:pt>
                  <c:pt idx="23">
                    <c:v>Realme 12 Pro</c:v>
                  </c:pt>
                  <c:pt idx="24">
                    <c:v>Redmi Note 13</c:v>
                  </c:pt>
                  <c:pt idx="25">
                    <c:v>Galaxy A35</c:v>
                  </c:pt>
                  <c:pt idx="26">
                    <c:v>Galaxy Buds</c:v>
                  </c:pt>
                  <c:pt idx="27">
                    <c:v>iPhone 15</c:v>
                  </c:pt>
                  <c:pt idx="28">
                    <c:v>Realme 12 Pro</c:v>
                  </c:pt>
                  <c:pt idx="29">
                    <c:v>Redmi Note 13</c:v>
                  </c:pt>
                </c:lvl>
                <c:lvl>
                  <c:pt idx="0">
                    <c:v>ABC Ltd</c:v>
                  </c:pt>
                  <c:pt idx="5">
                    <c:v>DEF Ltd</c:v>
                  </c:pt>
                  <c:pt idx="10">
                    <c:v>GHI Ltd</c:v>
                  </c:pt>
                  <c:pt idx="15">
                    <c:v>LMN Ltd</c:v>
                  </c:pt>
                  <c:pt idx="20">
                    <c:v>PQR Ltd</c:v>
                  </c:pt>
                  <c:pt idx="25">
                    <c:v>XYZ Pvt</c:v>
                  </c:pt>
                </c:lvl>
              </c:multiLvlStrCache>
            </c:multiLvlStrRef>
          </c:cat>
          <c:val>
            <c:numRef>
              <c:f>'TASK 6'!$D$5:$D$41</c:f>
              <c:numCache>
                <c:formatCode>General</c:formatCode>
                <c:ptCount val="30"/>
                <c:pt idx="3">
                  <c:v>2</c:v>
                </c:pt>
                <c:pt idx="8">
                  <c:v>1</c:v>
                </c:pt>
                <c:pt idx="13">
                  <c:v>1</c:v>
                </c:pt>
                <c:pt idx="18">
                  <c:v>2</c:v>
                </c:pt>
                <c:pt idx="23">
                  <c:v>2</c:v>
                </c:pt>
                <c:pt idx="2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98-47C7-92F7-7F1C16CBC1B6}"/>
            </c:ext>
          </c:extLst>
        </c:ser>
        <c:ser>
          <c:idx val="3"/>
          <c:order val="3"/>
          <c:tx>
            <c:strRef>
              <c:f>'TASK 6'!$E$3:$E$4</c:f>
              <c:strCache>
                <c:ptCount val="1"/>
                <c:pt idx="0">
                  <c:v>EMI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0-0A98-47C7-92F7-7F1C16CBC1B6}"/>
              </c:ext>
            </c:extLst>
          </c:dPt>
          <c:dPt>
            <c:idx val="1"/>
            <c:bubble3D val="0"/>
            <c:spPr>
              <a:solidFill>
                <a:schemeClr val="accent4">
                  <a:shade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1-0A98-47C7-92F7-7F1C16CBC1B6}"/>
              </c:ext>
            </c:extLst>
          </c:dPt>
          <c:dPt>
            <c:idx val="2"/>
            <c:bubble3D val="0"/>
            <c:spPr>
              <a:solidFill>
                <a:schemeClr val="accent4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2-0A98-47C7-92F7-7F1C16CBC1B6}"/>
              </c:ext>
            </c:extLst>
          </c:dPt>
          <c:dPt>
            <c:idx val="3"/>
            <c:bubble3D val="0"/>
            <c:spPr>
              <a:solidFill>
                <a:schemeClr val="accent4">
                  <a:shade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3-0A98-47C7-92F7-7F1C16CBC1B6}"/>
              </c:ext>
            </c:extLst>
          </c:dPt>
          <c:dPt>
            <c:idx val="4"/>
            <c:bubble3D val="0"/>
            <c:spPr>
              <a:solidFill>
                <a:schemeClr val="accent4">
                  <a:shade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4-0A98-47C7-92F7-7F1C16CBC1B6}"/>
              </c:ext>
            </c:extLst>
          </c:dPt>
          <c:dPt>
            <c:idx val="5"/>
            <c:bubble3D val="0"/>
            <c:spPr>
              <a:solidFill>
                <a:schemeClr val="accent4">
                  <a:shade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5-0A98-47C7-92F7-7F1C16CBC1B6}"/>
              </c:ext>
            </c:extLst>
          </c:dPt>
          <c:dPt>
            <c:idx val="6"/>
            <c:bubble3D val="0"/>
            <c:spPr>
              <a:solidFill>
                <a:schemeClr val="accent4">
                  <a:shade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6-0A98-47C7-92F7-7F1C16CBC1B6}"/>
              </c:ext>
            </c:extLst>
          </c:dPt>
          <c:dPt>
            <c:idx val="7"/>
            <c:bubble3D val="0"/>
            <c:spPr>
              <a:solidFill>
                <a:schemeClr val="accent4">
                  <a:shade val="6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7-0A98-47C7-92F7-7F1C16CBC1B6}"/>
              </c:ext>
            </c:extLst>
          </c:dPt>
          <c:dPt>
            <c:idx val="8"/>
            <c:bubble3D val="0"/>
            <c:spPr>
              <a:solidFill>
                <a:schemeClr val="accent4">
                  <a:shade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8-0A98-47C7-92F7-7F1C16CBC1B6}"/>
              </c:ext>
            </c:extLst>
          </c:dPt>
          <c:dPt>
            <c:idx val="9"/>
            <c:bubble3D val="0"/>
            <c:spPr>
              <a:solidFill>
                <a:schemeClr val="accent4">
                  <a:shade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9-0A98-47C7-92F7-7F1C16CBC1B6}"/>
              </c:ext>
            </c:extLst>
          </c:dPt>
          <c:dPt>
            <c:idx val="10"/>
            <c:bubble3D val="0"/>
            <c:spPr>
              <a:solidFill>
                <a:schemeClr val="accent4">
                  <a:shade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A-0A98-47C7-92F7-7F1C16CBC1B6}"/>
              </c:ext>
            </c:extLst>
          </c:dPt>
          <c:dPt>
            <c:idx val="11"/>
            <c:bubble3D val="0"/>
            <c:spPr>
              <a:solidFill>
                <a:schemeClr val="accent4">
                  <a:shade val="8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B-0A98-47C7-92F7-7F1C16CBC1B6}"/>
              </c:ext>
            </c:extLst>
          </c:dPt>
          <c:dPt>
            <c:idx val="12"/>
            <c:bubble3D val="0"/>
            <c:spPr>
              <a:solidFill>
                <a:schemeClr val="accent4">
                  <a:shade val="8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C-0A98-47C7-92F7-7F1C16CBC1B6}"/>
              </c:ext>
            </c:extLst>
          </c:dPt>
          <c:dPt>
            <c:idx val="13"/>
            <c:bubble3D val="0"/>
            <c:spPr>
              <a:solidFill>
                <a:schemeClr val="accent4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D-0A98-47C7-92F7-7F1C16CBC1B6}"/>
              </c:ext>
            </c:extLst>
          </c:dPt>
          <c:dPt>
            <c:idx val="14"/>
            <c:bubble3D val="0"/>
            <c:spPr>
              <a:solidFill>
                <a:schemeClr val="accent4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E-0A98-47C7-92F7-7F1C16CBC1B6}"/>
              </c:ext>
            </c:extLst>
          </c:dPt>
          <c:dPt>
            <c:idx val="15"/>
            <c:bubble3D val="0"/>
            <c:spPr>
              <a:solidFill>
                <a:schemeClr val="accent4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F-0A98-47C7-92F7-7F1C16CBC1B6}"/>
              </c:ext>
            </c:extLst>
          </c:dPt>
          <c:dPt>
            <c:idx val="16"/>
            <c:bubble3D val="0"/>
            <c:spPr>
              <a:solidFill>
                <a:schemeClr val="accent4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0-0A98-47C7-92F7-7F1C16CBC1B6}"/>
              </c:ext>
            </c:extLst>
          </c:dPt>
          <c:dPt>
            <c:idx val="17"/>
            <c:bubble3D val="0"/>
            <c:spPr>
              <a:solidFill>
                <a:schemeClr val="accent4">
                  <a:tint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1-0A98-47C7-92F7-7F1C16CBC1B6}"/>
              </c:ext>
            </c:extLst>
          </c:dPt>
          <c:dPt>
            <c:idx val="18"/>
            <c:bubble3D val="0"/>
            <c:spPr>
              <a:solidFill>
                <a:schemeClr val="accent4">
                  <a:tint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2-0A98-47C7-92F7-7F1C16CBC1B6}"/>
              </c:ext>
            </c:extLst>
          </c:dPt>
          <c:dPt>
            <c:idx val="19"/>
            <c:bubble3D val="0"/>
            <c:spPr>
              <a:solidFill>
                <a:schemeClr val="accent4">
                  <a:tint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3-0A98-47C7-92F7-7F1C16CBC1B6}"/>
              </c:ext>
            </c:extLst>
          </c:dPt>
          <c:dPt>
            <c:idx val="20"/>
            <c:bubble3D val="0"/>
            <c:spPr>
              <a:solidFill>
                <a:schemeClr val="accent4">
                  <a:tint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4-0A98-47C7-92F7-7F1C16CBC1B6}"/>
              </c:ext>
            </c:extLst>
          </c:dPt>
          <c:dPt>
            <c:idx val="21"/>
            <c:bubble3D val="0"/>
            <c:spPr>
              <a:solidFill>
                <a:schemeClr val="accent4">
                  <a:tint val="7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5-0A98-47C7-92F7-7F1C16CBC1B6}"/>
              </c:ext>
            </c:extLst>
          </c:dPt>
          <c:dPt>
            <c:idx val="22"/>
            <c:bubble3D val="0"/>
            <c:spPr>
              <a:solidFill>
                <a:schemeClr val="accent4">
                  <a:tint val="6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6-0A98-47C7-92F7-7F1C16CBC1B6}"/>
              </c:ext>
            </c:extLst>
          </c:dPt>
          <c:dPt>
            <c:idx val="23"/>
            <c:bubble3D val="0"/>
            <c:spPr>
              <a:solidFill>
                <a:schemeClr val="accent4">
                  <a:tint val="6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7-0A98-47C7-92F7-7F1C16CBC1B6}"/>
              </c:ext>
            </c:extLst>
          </c:dPt>
          <c:dPt>
            <c:idx val="24"/>
            <c:bubble3D val="0"/>
            <c:spPr>
              <a:solidFill>
                <a:schemeClr val="accent4">
                  <a:tint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8-0A98-47C7-92F7-7F1C16CBC1B6}"/>
              </c:ext>
            </c:extLst>
          </c:dPt>
          <c:dPt>
            <c:idx val="25"/>
            <c:bubble3D val="0"/>
            <c:spPr>
              <a:solidFill>
                <a:schemeClr val="accent4">
                  <a:tint val="5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9-0A98-47C7-92F7-7F1C16CBC1B6}"/>
              </c:ext>
            </c:extLst>
          </c:dPt>
          <c:dPt>
            <c:idx val="26"/>
            <c:bubble3D val="0"/>
            <c:spPr>
              <a:solidFill>
                <a:schemeClr val="accent4">
                  <a:tint val="4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A-0A98-47C7-92F7-7F1C16CBC1B6}"/>
              </c:ext>
            </c:extLst>
          </c:dPt>
          <c:dPt>
            <c:idx val="27"/>
            <c:bubble3D val="0"/>
            <c:spPr>
              <a:solidFill>
                <a:schemeClr val="accent4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B-0A98-47C7-92F7-7F1C16CBC1B6}"/>
              </c:ext>
            </c:extLst>
          </c:dPt>
          <c:dPt>
            <c:idx val="28"/>
            <c:bubble3D val="0"/>
            <c:spPr>
              <a:solidFill>
                <a:schemeClr val="accent4">
                  <a:tint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C-0A98-47C7-92F7-7F1C16CBC1B6}"/>
              </c:ext>
            </c:extLst>
          </c:dPt>
          <c:dPt>
            <c:idx val="29"/>
            <c:bubble3D val="0"/>
            <c:spPr>
              <a:solidFill>
                <a:schemeClr val="accent4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D-0A98-47C7-92F7-7F1C16CBC1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4">
                        <a:tint val="77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'TASK 6'!$A$5:$A$41</c:f>
              <c:multiLvlStrCache>
                <c:ptCount val="30"/>
                <c:lvl>
                  <c:pt idx="0">
                    <c:v>Galaxy A35</c:v>
                  </c:pt>
                  <c:pt idx="1">
                    <c:v>Galaxy Buds</c:v>
                  </c:pt>
                  <c:pt idx="2">
                    <c:v>iPhone 15</c:v>
                  </c:pt>
                  <c:pt idx="3">
                    <c:v>Realme 12 Pro</c:v>
                  </c:pt>
                  <c:pt idx="4">
                    <c:v>Redmi Note 13</c:v>
                  </c:pt>
                  <c:pt idx="5">
                    <c:v>Galaxy A35</c:v>
                  </c:pt>
                  <c:pt idx="6">
                    <c:v>Galaxy Buds</c:v>
                  </c:pt>
                  <c:pt idx="7">
                    <c:v>iPhone 15</c:v>
                  </c:pt>
                  <c:pt idx="8">
                    <c:v>Realme 12 Pro</c:v>
                  </c:pt>
                  <c:pt idx="9">
                    <c:v>Redmi Note 13</c:v>
                  </c:pt>
                  <c:pt idx="10">
                    <c:v>Galaxy A35</c:v>
                  </c:pt>
                  <c:pt idx="11">
                    <c:v>Galaxy Buds</c:v>
                  </c:pt>
                  <c:pt idx="12">
                    <c:v>iPhone 15</c:v>
                  </c:pt>
                  <c:pt idx="13">
                    <c:v>Realme 12 Pro</c:v>
                  </c:pt>
                  <c:pt idx="14">
                    <c:v>Redmi Note 13</c:v>
                  </c:pt>
                  <c:pt idx="15">
                    <c:v>Galaxy A35</c:v>
                  </c:pt>
                  <c:pt idx="16">
                    <c:v>Galaxy Buds</c:v>
                  </c:pt>
                  <c:pt idx="17">
                    <c:v>iPhone 15</c:v>
                  </c:pt>
                  <c:pt idx="18">
                    <c:v>Realme 12 Pro</c:v>
                  </c:pt>
                  <c:pt idx="19">
                    <c:v>Redmi Note 13</c:v>
                  </c:pt>
                  <c:pt idx="20">
                    <c:v>Galaxy A35</c:v>
                  </c:pt>
                  <c:pt idx="21">
                    <c:v>Galaxy Buds</c:v>
                  </c:pt>
                  <c:pt idx="22">
                    <c:v>iPhone 15</c:v>
                  </c:pt>
                  <c:pt idx="23">
                    <c:v>Realme 12 Pro</c:v>
                  </c:pt>
                  <c:pt idx="24">
                    <c:v>Redmi Note 13</c:v>
                  </c:pt>
                  <c:pt idx="25">
                    <c:v>Galaxy A35</c:v>
                  </c:pt>
                  <c:pt idx="26">
                    <c:v>Galaxy Buds</c:v>
                  </c:pt>
                  <c:pt idx="27">
                    <c:v>iPhone 15</c:v>
                  </c:pt>
                  <c:pt idx="28">
                    <c:v>Realme 12 Pro</c:v>
                  </c:pt>
                  <c:pt idx="29">
                    <c:v>Redmi Note 13</c:v>
                  </c:pt>
                </c:lvl>
                <c:lvl>
                  <c:pt idx="0">
                    <c:v>ABC Ltd</c:v>
                  </c:pt>
                  <c:pt idx="5">
                    <c:v>DEF Ltd</c:v>
                  </c:pt>
                  <c:pt idx="10">
                    <c:v>GHI Ltd</c:v>
                  </c:pt>
                  <c:pt idx="15">
                    <c:v>LMN Ltd</c:v>
                  </c:pt>
                  <c:pt idx="20">
                    <c:v>PQR Ltd</c:v>
                  </c:pt>
                  <c:pt idx="25">
                    <c:v>XYZ Pvt</c:v>
                  </c:pt>
                </c:lvl>
              </c:multiLvlStrCache>
            </c:multiLvlStrRef>
          </c:cat>
          <c:val>
            <c:numRef>
              <c:f>'TASK 6'!$E$5:$E$41</c:f>
              <c:numCache>
                <c:formatCode>General</c:formatCode>
                <c:ptCount val="30"/>
                <c:pt idx="1">
                  <c:v>1</c:v>
                </c:pt>
                <c:pt idx="6">
                  <c:v>2</c:v>
                </c:pt>
                <c:pt idx="11">
                  <c:v>1</c:v>
                </c:pt>
                <c:pt idx="16">
                  <c:v>2</c:v>
                </c:pt>
                <c:pt idx="21">
                  <c:v>2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98-47C7-92F7-7F1C16CBC1B6}"/>
            </c:ext>
          </c:extLst>
        </c:ser>
        <c:ser>
          <c:idx val="4"/>
          <c:order val="4"/>
          <c:tx>
            <c:strRef>
              <c:f>'TASK 6'!$F$3:$F$4</c:f>
              <c:strCache>
                <c:ptCount val="1"/>
                <c:pt idx="0">
                  <c:v>UPI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E-0A98-47C7-92F7-7F1C16CBC1B6}"/>
              </c:ext>
            </c:extLst>
          </c:dPt>
          <c:dPt>
            <c:idx val="1"/>
            <c:bubble3D val="0"/>
            <c:spPr>
              <a:solidFill>
                <a:schemeClr val="accent4">
                  <a:shade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F-0A98-47C7-92F7-7F1C16CBC1B6}"/>
              </c:ext>
            </c:extLst>
          </c:dPt>
          <c:dPt>
            <c:idx val="2"/>
            <c:bubble3D val="0"/>
            <c:spPr>
              <a:solidFill>
                <a:schemeClr val="accent4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0-0A98-47C7-92F7-7F1C16CBC1B6}"/>
              </c:ext>
            </c:extLst>
          </c:dPt>
          <c:dPt>
            <c:idx val="3"/>
            <c:bubble3D val="0"/>
            <c:spPr>
              <a:solidFill>
                <a:schemeClr val="accent4">
                  <a:shade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1-0A98-47C7-92F7-7F1C16CBC1B6}"/>
              </c:ext>
            </c:extLst>
          </c:dPt>
          <c:dPt>
            <c:idx val="4"/>
            <c:bubble3D val="0"/>
            <c:spPr>
              <a:solidFill>
                <a:schemeClr val="accent4">
                  <a:shade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2-0A98-47C7-92F7-7F1C16CBC1B6}"/>
              </c:ext>
            </c:extLst>
          </c:dPt>
          <c:dPt>
            <c:idx val="5"/>
            <c:bubble3D val="0"/>
            <c:spPr>
              <a:solidFill>
                <a:schemeClr val="accent4">
                  <a:shade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3-0A98-47C7-92F7-7F1C16CBC1B6}"/>
              </c:ext>
            </c:extLst>
          </c:dPt>
          <c:dPt>
            <c:idx val="6"/>
            <c:bubble3D val="0"/>
            <c:spPr>
              <a:solidFill>
                <a:schemeClr val="accent4">
                  <a:shade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4-0A98-47C7-92F7-7F1C16CBC1B6}"/>
              </c:ext>
            </c:extLst>
          </c:dPt>
          <c:dPt>
            <c:idx val="7"/>
            <c:bubble3D val="0"/>
            <c:spPr>
              <a:solidFill>
                <a:schemeClr val="accent4">
                  <a:shade val="6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5-0A98-47C7-92F7-7F1C16CBC1B6}"/>
              </c:ext>
            </c:extLst>
          </c:dPt>
          <c:dPt>
            <c:idx val="8"/>
            <c:bubble3D val="0"/>
            <c:spPr>
              <a:solidFill>
                <a:schemeClr val="accent4">
                  <a:shade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6-0A98-47C7-92F7-7F1C16CBC1B6}"/>
              </c:ext>
            </c:extLst>
          </c:dPt>
          <c:dPt>
            <c:idx val="9"/>
            <c:bubble3D val="0"/>
            <c:spPr>
              <a:solidFill>
                <a:schemeClr val="accent4">
                  <a:shade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7-0A98-47C7-92F7-7F1C16CBC1B6}"/>
              </c:ext>
            </c:extLst>
          </c:dPt>
          <c:dPt>
            <c:idx val="10"/>
            <c:bubble3D val="0"/>
            <c:spPr>
              <a:solidFill>
                <a:schemeClr val="accent4">
                  <a:shade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8-0A98-47C7-92F7-7F1C16CBC1B6}"/>
              </c:ext>
            </c:extLst>
          </c:dPt>
          <c:dPt>
            <c:idx val="11"/>
            <c:bubble3D val="0"/>
            <c:spPr>
              <a:solidFill>
                <a:schemeClr val="accent4">
                  <a:shade val="8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9-0A98-47C7-92F7-7F1C16CBC1B6}"/>
              </c:ext>
            </c:extLst>
          </c:dPt>
          <c:dPt>
            <c:idx val="12"/>
            <c:bubble3D val="0"/>
            <c:spPr>
              <a:solidFill>
                <a:schemeClr val="accent4">
                  <a:shade val="8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A-0A98-47C7-92F7-7F1C16CBC1B6}"/>
              </c:ext>
            </c:extLst>
          </c:dPt>
          <c:dPt>
            <c:idx val="13"/>
            <c:bubble3D val="0"/>
            <c:spPr>
              <a:solidFill>
                <a:schemeClr val="accent4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B-0A98-47C7-92F7-7F1C16CBC1B6}"/>
              </c:ext>
            </c:extLst>
          </c:dPt>
          <c:dPt>
            <c:idx val="14"/>
            <c:bubble3D val="0"/>
            <c:spPr>
              <a:solidFill>
                <a:schemeClr val="accent4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C-0A98-47C7-92F7-7F1C16CBC1B6}"/>
              </c:ext>
            </c:extLst>
          </c:dPt>
          <c:dPt>
            <c:idx val="15"/>
            <c:bubble3D val="0"/>
            <c:spPr>
              <a:solidFill>
                <a:schemeClr val="accent4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D-0A98-47C7-92F7-7F1C16CBC1B6}"/>
              </c:ext>
            </c:extLst>
          </c:dPt>
          <c:dPt>
            <c:idx val="16"/>
            <c:bubble3D val="0"/>
            <c:spPr>
              <a:solidFill>
                <a:schemeClr val="accent4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E-0A98-47C7-92F7-7F1C16CBC1B6}"/>
              </c:ext>
            </c:extLst>
          </c:dPt>
          <c:dPt>
            <c:idx val="17"/>
            <c:bubble3D val="0"/>
            <c:spPr>
              <a:solidFill>
                <a:schemeClr val="accent4">
                  <a:tint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F-0A98-47C7-92F7-7F1C16CBC1B6}"/>
              </c:ext>
            </c:extLst>
          </c:dPt>
          <c:dPt>
            <c:idx val="18"/>
            <c:bubble3D val="0"/>
            <c:spPr>
              <a:solidFill>
                <a:schemeClr val="accent4">
                  <a:tint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0-0A98-47C7-92F7-7F1C16CBC1B6}"/>
              </c:ext>
            </c:extLst>
          </c:dPt>
          <c:dPt>
            <c:idx val="19"/>
            <c:bubble3D val="0"/>
            <c:spPr>
              <a:solidFill>
                <a:schemeClr val="accent4">
                  <a:tint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1-0A98-47C7-92F7-7F1C16CBC1B6}"/>
              </c:ext>
            </c:extLst>
          </c:dPt>
          <c:dPt>
            <c:idx val="20"/>
            <c:bubble3D val="0"/>
            <c:spPr>
              <a:solidFill>
                <a:schemeClr val="accent4">
                  <a:tint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2-0A98-47C7-92F7-7F1C16CBC1B6}"/>
              </c:ext>
            </c:extLst>
          </c:dPt>
          <c:dPt>
            <c:idx val="21"/>
            <c:bubble3D val="0"/>
            <c:spPr>
              <a:solidFill>
                <a:schemeClr val="accent4">
                  <a:tint val="7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3-0A98-47C7-92F7-7F1C16CBC1B6}"/>
              </c:ext>
            </c:extLst>
          </c:dPt>
          <c:dPt>
            <c:idx val="22"/>
            <c:bubble3D val="0"/>
            <c:spPr>
              <a:solidFill>
                <a:schemeClr val="accent4">
                  <a:tint val="6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4-0A98-47C7-92F7-7F1C16CBC1B6}"/>
              </c:ext>
            </c:extLst>
          </c:dPt>
          <c:dPt>
            <c:idx val="23"/>
            <c:bubble3D val="0"/>
            <c:spPr>
              <a:solidFill>
                <a:schemeClr val="accent4">
                  <a:tint val="6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5-0A98-47C7-92F7-7F1C16CBC1B6}"/>
              </c:ext>
            </c:extLst>
          </c:dPt>
          <c:dPt>
            <c:idx val="24"/>
            <c:bubble3D val="0"/>
            <c:spPr>
              <a:solidFill>
                <a:schemeClr val="accent4">
                  <a:tint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6-0A98-47C7-92F7-7F1C16CBC1B6}"/>
              </c:ext>
            </c:extLst>
          </c:dPt>
          <c:dPt>
            <c:idx val="25"/>
            <c:bubble3D val="0"/>
            <c:spPr>
              <a:solidFill>
                <a:schemeClr val="accent4">
                  <a:tint val="5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7-0A98-47C7-92F7-7F1C16CBC1B6}"/>
              </c:ext>
            </c:extLst>
          </c:dPt>
          <c:dPt>
            <c:idx val="26"/>
            <c:bubble3D val="0"/>
            <c:spPr>
              <a:solidFill>
                <a:schemeClr val="accent4">
                  <a:tint val="4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8-0A98-47C7-92F7-7F1C16CBC1B6}"/>
              </c:ext>
            </c:extLst>
          </c:dPt>
          <c:dPt>
            <c:idx val="27"/>
            <c:bubble3D val="0"/>
            <c:spPr>
              <a:solidFill>
                <a:schemeClr val="accent4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9-0A98-47C7-92F7-7F1C16CBC1B6}"/>
              </c:ext>
            </c:extLst>
          </c:dPt>
          <c:dPt>
            <c:idx val="28"/>
            <c:bubble3D val="0"/>
            <c:spPr>
              <a:solidFill>
                <a:schemeClr val="accent4">
                  <a:tint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A-0A98-47C7-92F7-7F1C16CBC1B6}"/>
              </c:ext>
            </c:extLst>
          </c:dPt>
          <c:dPt>
            <c:idx val="29"/>
            <c:bubble3D val="0"/>
            <c:spPr>
              <a:solidFill>
                <a:schemeClr val="accent4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B-0A98-47C7-92F7-7F1C16CBC1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4">
                        <a:tint val="54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'TASK 6'!$A$5:$A$41</c:f>
              <c:multiLvlStrCache>
                <c:ptCount val="30"/>
                <c:lvl>
                  <c:pt idx="0">
                    <c:v>Galaxy A35</c:v>
                  </c:pt>
                  <c:pt idx="1">
                    <c:v>Galaxy Buds</c:v>
                  </c:pt>
                  <c:pt idx="2">
                    <c:v>iPhone 15</c:v>
                  </c:pt>
                  <c:pt idx="3">
                    <c:v>Realme 12 Pro</c:v>
                  </c:pt>
                  <c:pt idx="4">
                    <c:v>Redmi Note 13</c:v>
                  </c:pt>
                  <c:pt idx="5">
                    <c:v>Galaxy A35</c:v>
                  </c:pt>
                  <c:pt idx="6">
                    <c:v>Galaxy Buds</c:v>
                  </c:pt>
                  <c:pt idx="7">
                    <c:v>iPhone 15</c:v>
                  </c:pt>
                  <c:pt idx="8">
                    <c:v>Realme 12 Pro</c:v>
                  </c:pt>
                  <c:pt idx="9">
                    <c:v>Redmi Note 13</c:v>
                  </c:pt>
                  <c:pt idx="10">
                    <c:v>Galaxy A35</c:v>
                  </c:pt>
                  <c:pt idx="11">
                    <c:v>Galaxy Buds</c:v>
                  </c:pt>
                  <c:pt idx="12">
                    <c:v>iPhone 15</c:v>
                  </c:pt>
                  <c:pt idx="13">
                    <c:v>Realme 12 Pro</c:v>
                  </c:pt>
                  <c:pt idx="14">
                    <c:v>Redmi Note 13</c:v>
                  </c:pt>
                  <c:pt idx="15">
                    <c:v>Galaxy A35</c:v>
                  </c:pt>
                  <c:pt idx="16">
                    <c:v>Galaxy Buds</c:v>
                  </c:pt>
                  <c:pt idx="17">
                    <c:v>iPhone 15</c:v>
                  </c:pt>
                  <c:pt idx="18">
                    <c:v>Realme 12 Pro</c:v>
                  </c:pt>
                  <c:pt idx="19">
                    <c:v>Redmi Note 13</c:v>
                  </c:pt>
                  <c:pt idx="20">
                    <c:v>Galaxy A35</c:v>
                  </c:pt>
                  <c:pt idx="21">
                    <c:v>Galaxy Buds</c:v>
                  </c:pt>
                  <c:pt idx="22">
                    <c:v>iPhone 15</c:v>
                  </c:pt>
                  <c:pt idx="23">
                    <c:v>Realme 12 Pro</c:v>
                  </c:pt>
                  <c:pt idx="24">
                    <c:v>Redmi Note 13</c:v>
                  </c:pt>
                  <c:pt idx="25">
                    <c:v>Galaxy A35</c:v>
                  </c:pt>
                  <c:pt idx="26">
                    <c:v>Galaxy Buds</c:v>
                  </c:pt>
                  <c:pt idx="27">
                    <c:v>iPhone 15</c:v>
                  </c:pt>
                  <c:pt idx="28">
                    <c:v>Realme 12 Pro</c:v>
                  </c:pt>
                  <c:pt idx="29">
                    <c:v>Redmi Note 13</c:v>
                  </c:pt>
                </c:lvl>
                <c:lvl>
                  <c:pt idx="0">
                    <c:v>ABC Ltd</c:v>
                  </c:pt>
                  <c:pt idx="5">
                    <c:v>DEF Ltd</c:v>
                  </c:pt>
                  <c:pt idx="10">
                    <c:v>GHI Ltd</c:v>
                  </c:pt>
                  <c:pt idx="15">
                    <c:v>LMN Ltd</c:v>
                  </c:pt>
                  <c:pt idx="20">
                    <c:v>PQR Ltd</c:v>
                  </c:pt>
                  <c:pt idx="25">
                    <c:v>XYZ Pvt</c:v>
                  </c:pt>
                </c:lvl>
              </c:multiLvlStrCache>
            </c:multiLvlStrRef>
          </c:cat>
          <c:val>
            <c:numRef>
              <c:f>'TASK 6'!$F$5:$F$41</c:f>
              <c:numCache>
                <c:formatCode>General</c:formatCode>
                <c:ptCount val="30"/>
                <c:pt idx="0">
                  <c:v>2</c:v>
                </c:pt>
                <c:pt idx="5">
                  <c:v>2</c:v>
                </c:pt>
                <c:pt idx="10">
                  <c:v>2</c:v>
                </c:pt>
                <c:pt idx="15">
                  <c:v>1</c:v>
                </c:pt>
                <c:pt idx="20">
                  <c:v>1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98-47C7-92F7-7F1C16CBC1B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[Mobile_Shop_Project.xlsx]TASK 7!PivotTable7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wise Bar chart</a:t>
            </a:r>
          </a:p>
        </c:rich>
      </c:tx>
      <c:layout>
        <c:manualLayout>
          <c:xMode val="edge"/>
          <c:yMode val="edge"/>
          <c:x val="0.34382633420822395"/>
          <c:y val="6.2773403324584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3038713910761153"/>
          <c:y val="0.21800488480606592"/>
          <c:w val="0.43851115485564307"/>
          <c:h val="0.67459572761738129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'TASK 7'!$B$3:$B$4</c:f>
              <c:strCache>
                <c:ptCount val="1"/>
                <c:pt idx="0">
                  <c:v>Apple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8000"/>
                    <a:shade val="51000"/>
                    <a:satMod val="130000"/>
                  </a:schemeClr>
                </a:gs>
                <a:gs pos="80000">
                  <a:schemeClr val="accent3">
                    <a:shade val="58000"/>
                    <a:shade val="93000"/>
                    <a:satMod val="130000"/>
                  </a:schemeClr>
                </a:gs>
                <a:gs pos="100000">
                  <a:schemeClr val="accent3">
                    <a:shade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'TASK 7'!$A$5:$A$10</c:f>
              <c:strCache>
                <c:ptCount val="5"/>
                <c:pt idx="0">
                  <c:v>Galaxy A35</c:v>
                </c:pt>
                <c:pt idx="1">
                  <c:v>Galaxy Buds</c:v>
                </c:pt>
                <c:pt idx="2">
                  <c:v>iPhone 15</c:v>
                </c:pt>
                <c:pt idx="3">
                  <c:v>Realme 12 Pro</c:v>
                </c:pt>
                <c:pt idx="4">
                  <c:v>Redmi Note 13</c:v>
                </c:pt>
              </c:strCache>
            </c:strRef>
          </c:cat>
          <c:val>
            <c:numRef>
              <c:f>'TASK 7'!$B$5:$B$10</c:f>
              <c:numCache>
                <c:formatCode>General</c:formatCode>
                <c:ptCount val="5"/>
                <c:pt idx="2">
                  <c:v>1581977.4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96-445F-8E77-482C10674C4B}"/>
            </c:ext>
          </c:extLst>
        </c:ser>
        <c:ser>
          <c:idx val="1"/>
          <c:order val="1"/>
          <c:tx>
            <c:strRef>
              <c:f>'TASK 7'!$C$3:$C$4</c:f>
              <c:strCache>
                <c:ptCount val="1"/>
                <c:pt idx="0">
                  <c:v>Realme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86000"/>
                    <a:shade val="51000"/>
                    <a:satMod val="130000"/>
                  </a:schemeClr>
                </a:gs>
                <a:gs pos="80000">
                  <a:schemeClr val="accent3">
                    <a:shade val="86000"/>
                    <a:shade val="93000"/>
                    <a:satMod val="130000"/>
                  </a:schemeClr>
                </a:gs>
                <a:gs pos="100000">
                  <a:schemeClr val="accent3">
                    <a:shade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'TASK 7'!$A$5:$A$10</c:f>
              <c:strCache>
                <c:ptCount val="5"/>
                <c:pt idx="0">
                  <c:v>Galaxy A35</c:v>
                </c:pt>
                <c:pt idx="1">
                  <c:v>Galaxy Buds</c:v>
                </c:pt>
                <c:pt idx="2">
                  <c:v>iPhone 15</c:v>
                </c:pt>
                <c:pt idx="3">
                  <c:v>Realme 12 Pro</c:v>
                </c:pt>
                <c:pt idx="4">
                  <c:v>Redmi Note 13</c:v>
                </c:pt>
              </c:strCache>
            </c:strRef>
          </c:cat>
          <c:val>
            <c:numRef>
              <c:f>'TASK 7'!$C$5:$C$10</c:f>
              <c:numCache>
                <c:formatCode>General</c:formatCode>
                <c:ptCount val="5"/>
                <c:pt idx="3">
                  <c:v>1028963.25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196-445F-8E77-482C10674C4B}"/>
            </c:ext>
          </c:extLst>
        </c:ser>
        <c:ser>
          <c:idx val="2"/>
          <c:order val="2"/>
          <c:tx>
            <c:strRef>
              <c:f>'TASK 7'!$D$3:$D$4</c:f>
              <c:strCache>
                <c:ptCount val="1"/>
                <c:pt idx="0">
                  <c:v>Samsung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86000"/>
                    <a:shade val="51000"/>
                    <a:satMod val="130000"/>
                  </a:schemeClr>
                </a:gs>
                <a:gs pos="80000">
                  <a:schemeClr val="accent3">
                    <a:tint val="86000"/>
                    <a:shade val="93000"/>
                    <a:satMod val="130000"/>
                  </a:schemeClr>
                </a:gs>
                <a:gs pos="100000">
                  <a:schemeClr val="accent3">
                    <a:tint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'TASK 7'!$A$5:$A$10</c:f>
              <c:strCache>
                <c:ptCount val="5"/>
                <c:pt idx="0">
                  <c:v>Galaxy A35</c:v>
                </c:pt>
                <c:pt idx="1">
                  <c:v>Galaxy Buds</c:v>
                </c:pt>
                <c:pt idx="2">
                  <c:v>iPhone 15</c:v>
                </c:pt>
                <c:pt idx="3">
                  <c:v>Realme 12 Pro</c:v>
                </c:pt>
                <c:pt idx="4">
                  <c:v>Redmi Note 13</c:v>
                </c:pt>
              </c:strCache>
            </c:strRef>
          </c:cat>
          <c:val>
            <c:numRef>
              <c:f>'TASK 7'!$D$5:$D$10</c:f>
              <c:numCache>
                <c:formatCode>General</c:formatCode>
                <c:ptCount val="5"/>
                <c:pt idx="0">
                  <c:v>449485.5</c:v>
                </c:pt>
                <c:pt idx="1">
                  <c:v>125536.05000000002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196-445F-8E77-482C10674C4B}"/>
            </c:ext>
          </c:extLst>
        </c:ser>
        <c:ser>
          <c:idx val="3"/>
          <c:order val="3"/>
          <c:tx>
            <c:strRef>
              <c:f>'TASK 7'!$E$3:$E$4</c:f>
              <c:strCache>
                <c:ptCount val="1"/>
                <c:pt idx="0">
                  <c:v>Xiaomi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58000"/>
                    <a:shade val="51000"/>
                    <a:satMod val="130000"/>
                  </a:schemeClr>
                </a:gs>
                <a:gs pos="80000">
                  <a:schemeClr val="accent3">
                    <a:tint val="58000"/>
                    <a:shade val="93000"/>
                    <a:satMod val="130000"/>
                  </a:schemeClr>
                </a:gs>
                <a:gs pos="100000">
                  <a:schemeClr val="accent3">
                    <a:tint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'TASK 7'!$A$5:$A$10</c:f>
              <c:strCache>
                <c:ptCount val="5"/>
                <c:pt idx="0">
                  <c:v>Galaxy A35</c:v>
                </c:pt>
                <c:pt idx="1">
                  <c:v>Galaxy Buds</c:v>
                </c:pt>
                <c:pt idx="2">
                  <c:v>iPhone 15</c:v>
                </c:pt>
                <c:pt idx="3">
                  <c:v>Realme 12 Pro</c:v>
                </c:pt>
                <c:pt idx="4">
                  <c:v>Redmi Note 13</c:v>
                </c:pt>
              </c:strCache>
            </c:strRef>
          </c:cat>
          <c:val>
            <c:numRef>
              <c:f>'TASK 7'!$E$5:$E$10</c:f>
              <c:numCache>
                <c:formatCode>General</c:formatCode>
                <c:ptCount val="5"/>
                <c:pt idx="4">
                  <c:v>234586.2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196-445F-8E77-482C10674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43493023"/>
        <c:axId val="843488863"/>
        <c:axId val="0"/>
      </c:bar3DChart>
      <c:catAx>
        <c:axId val="8434930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488863"/>
        <c:crosses val="autoZero"/>
        <c:auto val="1"/>
        <c:lblAlgn val="ctr"/>
        <c:lblOffset val="100"/>
        <c:noMultiLvlLbl val="0"/>
      </c:catAx>
      <c:valAx>
        <c:axId val="84348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49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[Mobile_Shop_Project.xlsx]TASK 7!PivotTable8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EMPOLYEE ATTENDENCE</a:t>
            </a:r>
          </a:p>
        </c:rich>
      </c:tx>
      <c:layout>
        <c:manualLayout>
          <c:xMode val="edge"/>
          <c:yMode val="edge"/>
          <c:x val="0.29759011373578304"/>
          <c:y val="4.4254884806065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424759405074364"/>
          <c:y val="0.25247265966754157"/>
          <c:w val="0.70686351706036743"/>
          <c:h val="0.456310877806940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'TASK 7'!$B$18:$B$19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chemeClr val="accent6">
                <a:tint val="48000"/>
                <a:alpha val="85000"/>
              </a:schemeClr>
            </a:solidFill>
            <a:ln w="9525" cap="flat" cmpd="sng" algn="ctr">
              <a:solidFill>
                <a:schemeClr val="accent6">
                  <a:tint val="48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tint val="48000"/>
                  <a:lumMod val="75000"/>
                </a:schemeClr>
              </a:contourClr>
            </a:sp3d>
          </c:spPr>
          <c:invertIfNegative val="0"/>
          <c:cat>
            <c:strRef>
              <c:f>'TASK 7'!$A$20:$A$37</c:f>
              <c:strCache>
                <c:ptCount val="17"/>
                <c:pt idx="0">
                  <c:v>Aakash</c:v>
                </c:pt>
                <c:pt idx="1">
                  <c:v>Aalok</c:v>
                </c:pt>
                <c:pt idx="2">
                  <c:v>Andre</c:v>
                </c:pt>
                <c:pt idx="3">
                  <c:v>Beena</c:v>
                </c:pt>
                <c:pt idx="4">
                  <c:v>Javed</c:v>
                </c:pt>
                <c:pt idx="5">
                  <c:v>Julie</c:v>
                </c:pt>
                <c:pt idx="6">
                  <c:v>K. Sita</c:v>
                </c:pt>
                <c:pt idx="7">
                  <c:v>Meera</c:v>
                </c:pt>
                <c:pt idx="8">
                  <c:v>Neena</c:v>
                </c:pt>
                <c:pt idx="9">
                  <c:v>Pankaj</c:v>
                </c:pt>
                <c:pt idx="10">
                  <c:v>Parvati</c:v>
                </c:pt>
                <c:pt idx="11">
                  <c:v>Priya</c:v>
                </c:pt>
                <c:pt idx="12">
                  <c:v>Rahul</c:v>
                </c:pt>
                <c:pt idx="13">
                  <c:v>Seema</c:v>
                </c:pt>
                <c:pt idx="14">
                  <c:v>Sheetal</c:v>
                </c:pt>
                <c:pt idx="15">
                  <c:v>Shilpa</c:v>
                </c:pt>
                <c:pt idx="16">
                  <c:v>Suman</c:v>
                </c:pt>
              </c:strCache>
            </c:strRef>
          </c:cat>
          <c:val>
            <c:numRef>
              <c:f>'TASK 7'!$B$20:$B$37</c:f>
              <c:numCache>
                <c:formatCode>General</c:formatCode>
                <c:ptCount val="17"/>
                <c:pt idx="0">
                  <c:v>69</c:v>
                </c:pt>
                <c:pt idx="1">
                  <c:v>72</c:v>
                </c:pt>
                <c:pt idx="1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6-49A9-851A-410856B02423}"/>
            </c:ext>
          </c:extLst>
        </c:ser>
        <c:ser>
          <c:idx val="1"/>
          <c:order val="1"/>
          <c:tx>
            <c:strRef>
              <c:f>'TASK 7'!$C$18:$C$19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chemeClr val="accent6">
                <a:tint val="65000"/>
                <a:alpha val="85000"/>
              </a:schemeClr>
            </a:solidFill>
            <a:ln w="9525" cap="flat" cmpd="sng" algn="ctr">
              <a:solidFill>
                <a:schemeClr val="accent6">
                  <a:tint val="65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tint val="65000"/>
                  <a:lumMod val="75000"/>
                </a:schemeClr>
              </a:contourClr>
            </a:sp3d>
          </c:spPr>
          <c:invertIfNegative val="0"/>
          <c:cat>
            <c:strRef>
              <c:f>'TASK 7'!$A$20:$A$37</c:f>
              <c:strCache>
                <c:ptCount val="17"/>
                <c:pt idx="0">
                  <c:v>Aakash</c:v>
                </c:pt>
                <c:pt idx="1">
                  <c:v>Aalok</c:v>
                </c:pt>
                <c:pt idx="2">
                  <c:v>Andre</c:v>
                </c:pt>
                <c:pt idx="3">
                  <c:v>Beena</c:v>
                </c:pt>
                <c:pt idx="4">
                  <c:v>Javed</c:v>
                </c:pt>
                <c:pt idx="5">
                  <c:v>Julie</c:v>
                </c:pt>
                <c:pt idx="6">
                  <c:v>K. Sita</c:v>
                </c:pt>
                <c:pt idx="7">
                  <c:v>Meera</c:v>
                </c:pt>
                <c:pt idx="8">
                  <c:v>Neena</c:v>
                </c:pt>
                <c:pt idx="9">
                  <c:v>Pankaj</c:v>
                </c:pt>
                <c:pt idx="10">
                  <c:v>Parvati</c:v>
                </c:pt>
                <c:pt idx="11">
                  <c:v>Priya</c:v>
                </c:pt>
                <c:pt idx="12">
                  <c:v>Rahul</c:v>
                </c:pt>
                <c:pt idx="13">
                  <c:v>Seema</c:v>
                </c:pt>
                <c:pt idx="14">
                  <c:v>Sheetal</c:v>
                </c:pt>
                <c:pt idx="15">
                  <c:v>Shilpa</c:v>
                </c:pt>
                <c:pt idx="16">
                  <c:v>Suman</c:v>
                </c:pt>
              </c:strCache>
            </c:strRef>
          </c:cat>
          <c:val>
            <c:numRef>
              <c:f>'TASK 7'!$C$20:$C$37</c:f>
              <c:numCache>
                <c:formatCode>General</c:formatCode>
                <c:ptCount val="17"/>
                <c:pt idx="1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6-49A9-851A-410856B02423}"/>
            </c:ext>
          </c:extLst>
        </c:ser>
        <c:ser>
          <c:idx val="2"/>
          <c:order val="2"/>
          <c:tx>
            <c:strRef>
              <c:f>'TASK 7'!$D$18:$D$19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accent6">
                <a:tint val="83000"/>
                <a:alpha val="85000"/>
              </a:schemeClr>
            </a:solidFill>
            <a:ln w="9525" cap="flat" cmpd="sng" algn="ctr">
              <a:solidFill>
                <a:schemeClr val="accent6">
                  <a:tint val="83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tint val="83000"/>
                  <a:lumMod val="75000"/>
                </a:schemeClr>
              </a:contourClr>
            </a:sp3d>
          </c:spPr>
          <c:invertIfNegative val="0"/>
          <c:cat>
            <c:strRef>
              <c:f>'TASK 7'!$A$20:$A$37</c:f>
              <c:strCache>
                <c:ptCount val="17"/>
                <c:pt idx="0">
                  <c:v>Aakash</c:v>
                </c:pt>
                <c:pt idx="1">
                  <c:v>Aalok</c:v>
                </c:pt>
                <c:pt idx="2">
                  <c:v>Andre</c:v>
                </c:pt>
                <c:pt idx="3">
                  <c:v>Beena</c:v>
                </c:pt>
                <c:pt idx="4">
                  <c:v>Javed</c:v>
                </c:pt>
                <c:pt idx="5">
                  <c:v>Julie</c:v>
                </c:pt>
                <c:pt idx="6">
                  <c:v>K. Sita</c:v>
                </c:pt>
                <c:pt idx="7">
                  <c:v>Meera</c:v>
                </c:pt>
                <c:pt idx="8">
                  <c:v>Neena</c:v>
                </c:pt>
                <c:pt idx="9">
                  <c:v>Pankaj</c:v>
                </c:pt>
                <c:pt idx="10">
                  <c:v>Parvati</c:v>
                </c:pt>
                <c:pt idx="11">
                  <c:v>Priya</c:v>
                </c:pt>
                <c:pt idx="12">
                  <c:v>Rahul</c:v>
                </c:pt>
                <c:pt idx="13">
                  <c:v>Seema</c:v>
                </c:pt>
                <c:pt idx="14">
                  <c:v>Sheetal</c:v>
                </c:pt>
                <c:pt idx="15">
                  <c:v>Shilpa</c:v>
                </c:pt>
                <c:pt idx="16">
                  <c:v>Suman</c:v>
                </c:pt>
              </c:strCache>
            </c:strRef>
          </c:cat>
          <c:val>
            <c:numRef>
              <c:f>'TASK 7'!$D$20:$D$37</c:f>
              <c:numCache>
                <c:formatCode>General</c:formatCode>
                <c:ptCount val="17"/>
                <c:pt idx="4">
                  <c:v>78</c:v>
                </c:pt>
                <c:pt idx="7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6-49A9-851A-410856B02423}"/>
            </c:ext>
          </c:extLst>
        </c:ser>
        <c:ser>
          <c:idx val="3"/>
          <c:order val="3"/>
          <c:tx>
            <c:strRef>
              <c:f>'TASK 7'!$E$18:$E$19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strRef>
              <c:f>'TASK 7'!$A$20:$A$37</c:f>
              <c:strCache>
                <c:ptCount val="17"/>
                <c:pt idx="0">
                  <c:v>Aakash</c:v>
                </c:pt>
                <c:pt idx="1">
                  <c:v>Aalok</c:v>
                </c:pt>
                <c:pt idx="2">
                  <c:v>Andre</c:v>
                </c:pt>
                <c:pt idx="3">
                  <c:v>Beena</c:v>
                </c:pt>
                <c:pt idx="4">
                  <c:v>Javed</c:v>
                </c:pt>
                <c:pt idx="5">
                  <c:v>Julie</c:v>
                </c:pt>
                <c:pt idx="6">
                  <c:v>K. Sita</c:v>
                </c:pt>
                <c:pt idx="7">
                  <c:v>Meera</c:v>
                </c:pt>
                <c:pt idx="8">
                  <c:v>Neena</c:v>
                </c:pt>
                <c:pt idx="9">
                  <c:v>Pankaj</c:v>
                </c:pt>
                <c:pt idx="10">
                  <c:v>Parvati</c:v>
                </c:pt>
                <c:pt idx="11">
                  <c:v>Priya</c:v>
                </c:pt>
                <c:pt idx="12">
                  <c:v>Rahul</c:v>
                </c:pt>
                <c:pt idx="13">
                  <c:v>Seema</c:v>
                </c:pt>
                <c:pt idx="14">
                  <c:v>Sheetal</c:v>
                </c:pt>
                <c:pt idx="15">
                  <c:v>Shilpa</c:v>
                </c:pt>
                <c:pt idx="16">
                  <c:v>Suman</c:v>
                </c:pt>
              </c:strCache>
            </c:strRef>
          </c:cat>
          <c:val>
            <c:numRef>
              <c:f>'TASK 7'!$E$20:$E$37</c:f>
              <c:numCache>
                <c:formatCode>General</c:formatCode>
                <c:ptCount val="17"/>
                <c:pt idx="2">
                  <c:v>63</c:v>
                </c:pt>
                <c:pt idx="3">
                  <c:v>69</c:v>
                </c:pt>
                <c:pt idx="10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26-49A9-851A-410856B02423}"/>
            </c:ext>
          </c:extLst>
        </c:ser>
        <c:ser>
          <c:idx val="4"/>
          <c:order val="4"/>
          <c:tx>
            <c:strRef>
              <c:f>'TASK 7'!$F$18:$F$19</c:f>
              <c:strCache>
                <c:ptCount val="1"/>
                <c:pt idx="0">
                  <c:v>Personal</c:v>
                </c:pt>
              </c:strCache>
            </c:strRef>
          </c:tx>
          <c:spPr>
            <a:solidFill>
              <a:schemeClr val="accent6">
                <a:shade val="82000"/>
                <a:alpha val="85000"/>
              </a:schemeClr>
            </a:solidFill>
            <a:ln w="9525" cap="flat" cmpd="sng" algn="ctr">
              <a:solidFill>
                <a:schemeClr val="accent6">
                  <a:shade val="82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82000"/>
                  <a:lumMod val="75000"/>
                </a:schemeClr>
              </a:contourClr>
            </a:sp3d>
          </c:spPr>
          <c:invertIfNegative val="0"/>
          <c:cat>
            <c:strRef>
              <c:f>'TASK 7'!$A$20:$A$37</c:f>
              <c:strCache>
                <c:ptCount val="17"/>
                <c:pt idx="0">
                  <c:v>Aakash</c:v>
                </c:pt>
                <c:pt idx="1">
                  <c:v>Aalok</c:v>
                </c:pt>
                <c:pt idx="2">
                  <c:v>Andre</c:v>
                </c:pt>
                <c:pt idx="3">
                  <c:v>Beena</c:v>
                </c:pt>
                <c:pt idx="4">
                  <c:v>Javed</c:v>
                </c:pt>
                <c:pt idx="5">
                  <c:v>Julie</c:v>
                </c:pt>
                <c:pt idx="6">
                  <c:v>K. Sita</c:v>
                </c:pt>
                <c:pt idx="7">
                  <c:v>Meera</c:v>
                </c:pt>
                <c:pt idx="8">
                  <c:v>Neena</c:v>
                </c:pt>
                <c:pt idx="9">
                  <c:v>Pankaj</c:v>
                </c:pt>
                <c:pt idx="10">
                  <c:v>Parvati</c:v>
                </c:pt>
                <c:pt idx="11">
                  <c:v>Priya</c:v>
                </c:pt>
                <c:pt idx="12">
                  <c:v>Rahul</c:v>
                </c:pt>
                <c:pt idx="13">
                  <c:v>Seema</c:v>
                </c:pt>
                <c:pt idx="14">
                  <c:v>Sheetal</c:v>
                </c:pt>
                <c:pt idx="15">
                  <c:v>Shilpa</c:v>
                </c:pt>
                <c:pt idx="16">
                  <c:v>Suman</c:v>
                </c:pt>
              </c:strCache>
            </c:strRef>
          </c:cat>
          <c:val>
            <c:numRef>
              <c:f>'TASK 7'!$F$20:$F$37</c:f>
              <c:numCache>
                <c:formatCode>General</c:formatCode>
                <c:ptCount val="17"/>
                <c:pt idx="6">
                  <c:v>60</c:v>
                </c:pt>
                <c:pt idx="11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26-49A9-851A-410856B02423}"/>
            </c:ext>
          </c:extLst>
        </c:ser>
        <c:ser>
          <c:idx val="5"/>
          <c:order val="5"/>
          <c:tx>
            <c:strRef>
              <c:f>'TASK 7'!$G$18:$G$19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6">
                <a:shade val="65000"/>
                <a:alpha val="85000"/>
              </a:schemeClr>
            </a:solidFill>
            <a:ln w="9525" cap="flat" cmpd="sng" algn="ctr">
              <a:solidFill>
                <a:schemeClr val="accent6">
                  <a:shade val="65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65000"/>
                  <a:lumMod val="75000"/>
                </a:schemeClr>
              </a:contourClr>
            </a:sp3d>
          </c:spPr>
          <c:invertIfNegative val="0"/>
          <c:cat>
            <c:strRef>
              <c:f>'TASK 7'!$A$20:$A$37</c:f>
              <c:strCache>
                <c:ptCount val="17"/>
                <c:pt idx="0">
                  <c:v>Aakash</c:v>
                </c:pt>
                <c:pt idx="1">
                  <c:v>Aalok</c:v>
                </c:pt>
                <c:pt idx="2">
                  <c:v>Andre</c:v>
                </c:pt>
                <c:pt idx="3">
                  <c:v>Beena</c:v>
                </c:pt>
                <c:pt idx="4">
                  <c:v>Javed</c:v>
                </c:pt>
                <c:pt idx="5">
                  <c:v>Julie</c:v>
                </c:pt>
                <c:pt idx="6">
                  <c:v>K. Sita</c:v>
                </c:pt>
                <c:pt idx="7">
                  <c:v>Meera</c:v>
                </c:pt>
                <c:pt idx="8">
                  <c:v>Neena</c:v>
                </c:pt>
                <c:pt idx="9">
                  <c:v>Pankaj</c:v>
                </c:pt>
                <c:pt idx="10">
                  <c:v>Parvati</c:v>
                </c:pt>
                <c:pt idx="11">
                  <c:v>Priya</c:v>
                </c:pt>
                <c:pt idx="12">
                  <c:v>Rahul</c:v>
                </c:pt>
                <c:pt idx="13">
                  <c:v>Seema</c:v>
                </c:pt>
                <c:pt idx="14">
                  <c:v>Sheetal</c:v>
                </c:pt>
                <c:pt idx="15">
                  <c:v>Shilpa</c:v>
                </c:pt>
                <c:pt idx="16">
                  <c:v>Suman</c:v>
                </c:pt>
              </c:strCache>
            </c:strRef>
          </c:cat>
          <c:val>
            <c:numRef>
              <c:f>'TASK 7'!$G$20:$G$37</c:f>
              <c:numCache>
                <c:formatCode>General</c:formatCode>
                <c:ptCount val="17"/>
                <c:pt idx="5">
                  <c:v>66</c:v>
                </c:pt>
                <c:pt idx="8">
                  <c:v>72</c:v>
                </c:pt>
                <c:pt idx="13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26-49A9-851A-410856B02423}"/>
            </c:ext>
          </c:extLst>
        </c:ser>
        <c:ser>
          <c:idx val="6"/>
          <c:order val="6"/>
          <c:tx>
            <c:strRef>
              <c:f>'TASK 7'!$H$18:$H$19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>
                <a:shade val="47000"/>
                <a:alpha val="85000"/>
              </a:schemeClr>
            </a:solidFill>
            <a:ln w="9525" cap="flat" cmpd="sng" algn="ctr">
              <a:solidFill>
                <a:schemeClr val="accent6">
                  <a:shade val="47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47000"/>
                  <a:lumMod val="75000"/>
                </a:schemeClr>
              </a:contourClr>
            </a:sp3d>
          </c:spPr>
          <c:invertIfNegative val="0"/>
          <c:cat>
            <c:strRef>
              <c:f>'TASK 7'!$A$20:$A$37</c:f>
              <c:strCache>
                <c:ptCount val="17"/>
                <c:pt idx="0">
                  <c:v>Aakash</c:v>
                </c:pt>
                <c:pt idx="1">
                  <c:v>Aalok</c:v>
                </c:pt>
                <c:pt idx="2">
                  <c:v>Andre</c:v>
                </c:pt>
                <c:pt idx="3">
                  <c:v>Beena</c:v>
                </c:pt>
                <c:pt idx="4">
                  <c:v>Javed</c:v>
                </c:pt>
                <c:pt idx="5">
                  <c:v>Julie</c:v>
                </c:pt>
                <c:pt idx="6">
                  <c:v>K. Sita</c:v>
                </c:pt>
                <c:pt idx="7">
                  <c:v>Meera</c:v>
                </c:pt>
                <c:pt idx="8">
                  <c:v>Neena</c:v>
                </c:pt>
                <c:pt idx="9">
                  <c:v>Pankaj</c:v>
                </c:pt>
                <c:pt idx="10">
                  <c:v>Parvati</c:v>
                </c:pt>
                <c:pt idx="11">
                  <c:v>Priya</c:v>
                </c:pt>
                <c:pt idx="12">
                  <c:v>Rahul</c:v>
                </c:pt>
                <c:pt idx="13">
                  <c:v>Seema</c:v>
                </c:pt>
                <c:pt idx="14">
                  <c:v>Sheetal</c:v>
                </c:pt>
                <c:pt idx="15">
                  <c:v>Shilpa</c:v>
                </c:pt>
                <c:pt idx="16">
                  <c:v>Suman</c:v>
                </c:pt>
              </c:strCache>
            </c:strRef>
          </c:cat>
          <c:val>
            <c:numRef>
              <c:f>'TASK 7'!$H$20:$H$37</c:f>
              <c:numCache>
                <c:formatCode>General</c:formatCode>
                <c:ptCount val="17"/>
                <c:pt idx="9">
                  <c:v>81</c:v>
                </c:pt>
                <c:pt idx="12">
                  <c:v>75</c:v>
                </c:pt>
                <c:pt idx="16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26-49A9-851A-410856B02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30152751"/>
        <c:axId val="1130153167"/>
        <c:axId val="0"/>
      </c:bar3DChart>
      <c:catAx>
        <c:axId val="113015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153167"/>
        <c:crosses val="autoZero"/>
        <c:auto val="1"/>
        <c:lblAlgn val="ctr"/>
        <c:lblOffset val="100"/>
        <c:noMultiLvlLbl val="0"/>
      </c:catAx>
      <c:valAx>
        <c:axId val="113015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15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222222222222208"/>
          <c:y val="6.4466316710411184E-2"/>
          <c:w val="0.16666666666666666"/>
          <c:h val="0.4578940653251676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[Mobile_Shop_Project.xlsx]TASK 15 &amp; 16 &amp; 17!PivotTable5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 on Attendence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'TASK 15 &amp; 16 &amp; 17'!$B$25:$B$26</c:f>
              <c:strCache>
                <c:ptCount val="1"/>
                <c:pt idx="0">
                  <c:v>Admin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7F9-410B-A483-4B6EC012198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7F9-410B-A483-4B6EC0121982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7F9-410B-A483-4B6EC0121982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7F9-410B-A483-4B6EC0121982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7F9-410B-A483-4B6EC0121982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27F9-410B-A483-4B6EC0121982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27F9-410B-A483-4B6EC0121982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27F9-410B-A483-4B6EC0121982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27F9-410B-A483-4B6EC0121982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27F9-410B-A483-4B6EC0121982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27F9-410B-A483-4B6EC0121982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27F9-410B-A483-4B6EC012198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27F9-410B-A483-4B6EC0121982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27F9-410B-A483-4B6EC0121982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27F9-410B-A483-4B6EC0121982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27F9-410B-A483-4B6EC0121982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27F9-410B-A483-4B6EC012198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15 &amp; 16 &amp; 17'!$A$27:$A$44</c:f>
              <c:strCache>
                <c:ptCount val="17"/>
                <c:pt idx="0">
                  <c:v>Aakash</c:v>
                </c:pt>
                <c:pt idx="1">
                  <c:v>Aalok</c:v>
                </c:pt>
                <c:pt idx="2">
                  <c:v>Andre</c:v>
                </c:pt>
                <c:pt idx="3">
                  <c:v>Beena</c:v>
                </c:pt>
                <c:pt idx="4">
                  <c:v>Javed</c:v>
                </c:pt>
                <c:pt idx="5">
                  <c:v>Julie</c:v>
                </c:pt>
                <c:pt idx="6">
                  <c:v>K. Sita</c:v>
                </c:pt>
                <c:pt idx="7">
                  <c:v>Meera</c:v>
                </c:pt>
                <c:pt idx="8">
                  <c:v>Neena</c:v>
                </c:pt>
                <c:pt idx="9">
                  <c:v>Pankaj</c:v>
                </c:pt>
                <c:pt idx="10">
                  <c:v>Parvati</c:v>
                </c:pt>
                <c:pt idx="11">
                  <c:v>Priya</c:v>
                </c:pt>
                <c:pt idx="12">
                  <c:v>Rahul</c:v>
                </c:pt>
                <c:pt idx="13">
                  <c:v>Seema</c:v>
                </c:pt>
                <c:pt idx="14">
                  <c:v>Sheetal</c:v>
                </c:pt>
                <c:pt idx="15">
                  <c:v>Shilpa</c:v>
                </c:pt>
                <c:pt idx="16">
                  <c:v>Suman</c:v>
                </c:pt>
              </c:strCache>
            </c:strRef>
          </c:cat>
          <c:val>
            <c:numRef>
              <c:f>'TASK 15 &amp; 16 &amp; 17'!$B$27:$B$44</c:f>
              <c:numCache>
                <c:formatCode>General</c:formatCode>
                <c:ptCount val="17"/>
                <c:pt idx="0">
                  <c:v>69</c:v>
                </c:pt>
                <c:pt idx="1">
                  <c:v>72</c:v>
                </c:pt>
                <c:pt idx="1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4-4D1D-AFF3-037C9F0AD941}"/>
            </c:ext>
          </c:extLst>
        </c:ser>
        <c:ser>
          <c:idx val="1"/>
          <c:order val="1"/>
          <c:tx>
            <c:strRef>
              <c:f>'TASK 15 &amp; 16 &amp; 17'!$C$25:$C$26</c:f>
              <c:strCache>
                <c:ptCount val="1"/>
                <c:pt idx="0">
                  <c:v>Director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27F9-410B-A483-4B6EC012198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27F9-410B-A483-4B6EC0121982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27F9-410B-A483-4B6EC0121982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27F9-410B-A483-4B6EC0121982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27F9-410B-A483-4B6EC0121982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27F9-410B-A483-4B6EC0121982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27F9-410B-A483-4B6EC0121982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27F9-410B-A483-4B6EC0121982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27F9-410B-A483-4B6EC0121982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27F9-410B-A483-4B6EC0121982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7-27F9-410B-A483-4B6EC0121982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9-27F9-410B-A483-4B6EC012198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B-27F9-410B-A483-4B6EC0121982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D-27F9-410B-A483-4B6EC0121982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F-27F9-410B-A483-4B6EC0121982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1-27F9-410B-A483-4B6EC0121982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3-27F9-410B-A483-4B6EC012198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15 &amp; 16 &amp; 17'!$A$27:$A$44</c:f>
              <c:strCache>
                <c:ptCount val="17"/>
                <c:pt idx="0">
                  <c:v>Aakash</c:v>
                </c:pt>
                <c:pt idx="1">
                  <c:v>Aalok</c:v>
                </c:pt>
                <c:pt idx="2">
                  <c:v>Andre</c:v>
                </c:pt>
                <c:pt idx="3">
                  <c:v>Beena</c:v>
                </c:pt>
                <c:pt idx="4">
                  <c:v>Javed</c:v>
                </c:pt>
                <c:pt idx="5">
                  <c:v>Julie</c:v>
                </c:pt>
                <c:pt idx="6">
                  <c:v>K. Sita</c:v>
                </c:pt>
                <c:pt idx="7">
                  <c:v>Meera</c:v>
                </c:pt>
                <c:pt idx="8">
                  <c:v>Neena</c:v>
                </c:pt>
                <c:pt idx="9">
                  <c:v>Pankaj</c:v>
                </c:pt>
                <c:pt idx="10">
                  <c:v>Parvati</c:v>
                </c:pt>
                <c:pt idx="11">
                  <c:v>Priya</c:v>
                </c:pt>
                <c:pt idx="12">
                  <c:v>Rahul</c:v>
                </c:pt>
                <c:pt idx="13">
                  <c:v>Seema</c:v>
                </c:pt>
                <c:pt idx="14">
                  <c:v>Sheetal</c:v>
                </c:pt>
                <c:pt idx="15">
                  <c:v>Shilpa</c:v>
                </c:pt>
                <c:pt idx="16">
                  <c:v>Suman</c:v>
                </c:pt>
              </c:strCache>
            </c:strRef>
          </c:cat>
          <c:val>
            <c:numRef>
              <c:f>'TASK 15 &amp; 16 &amp; 17'!$C$27:$C$44</c:f>
              <c:numCache>
                <c:formatCode>General</c:formatCode>
                <c:ptCount val="17"/>
                <c:pt idx="1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C04-4D1D-AFF3-037C9F0AD941}"/>
            </c:ext>
          </c:extLst>
        </c:ser>
        <c:ser>
          <c:idx val="2"/>
          <c:order val="2"/>
          <c:tx>
            <c:strRef>
              <c:f>'TASK 15 &amp; 16 &amp; 17'!$D$25:$D$26</c:f>
              <c:strCache>
                <c:ptCount val="1"/>
                <c:pt idx="0">
                  <c:v>Finance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5-27F9-410B-A483-4B6EC012198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7-27F9-410B-A483-4B6EC0121982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9-27F9-410B-A483-4B6EC0121982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B-27F9-410B-A483-4B6EC0121982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D-27F9-410B-A483-4B6EC0121982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F-27F9-410B-A483-4B6EC0121982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1-27F9-410B-A483-4B6EC0121982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3-27F9-410B-A483-4B6EC0121982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5-27F9-410B-A483-4B6EC0121982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7-27F9-410B-A483-4B6EC0121982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9-27F9-410B-A483-4B6EC0121982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B-27F9-410B-A483-4B6EC012198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D-27F9-410B-A483-4B6EC0121982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F-27F9-410B-A483-4B6EC0121982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1-27F9-410B-A483-4B6EC0121982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3-27F9-410B-A483-4B6EC0121982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5-27F9-410B-A483-4B6EC012198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15 &amp; 16 &amp; 17'!$A$27:$A$44</c:f>
              <c:strCache>
                <c:ptCount val="17"/>
                <c:pt idx="0">
                  <c:v>Aakash</c:v>
                </c:pt>
                <c:pt idx="1">
                  <c:v>Aalok</c:v>
                </c:pt>
                <c:pt idx="2">
                  <c:v>Andre</c:v>
                </c:pt>
                <c:pt idx="3">
                  <c:v>Beena</c:v>
                </c:pt>
                <c:pt idx="4">
                  <c:v>Javed</c:v>
                </c:pt>
                <c:pt idx="5">
                  <c:v>Julie</c:v>
                </c:pt>
                <c:pt idx="6">
                  <c:v>K. Sita</c:v>
                </c:pt>
                <c:pt idx="7">
                  <c:v>Meera</c:v>
                </c:pt>
                <c:pt idx="8">
                  <c:v>Neena</c:v>
                </c:pt>
                <c:pt idx="9">
                  <c:v>Pankaj</c:v>
                </c:pt>
                <c:pt idx="10">
                  <c:v>Parvati</c:v>
                </c:pt>
                <c:pt idx="11">
                  <c:v>Priya</c:v>
                </c:pt>
                <c:pt idx="12">
                  <c:v>Rahul</c:v>
                </c:pt>
                <c:pt idx="13">
                  <c:v>Seema</c:v>
                </c:pt>
                <c:pt idx="14">
                  <c:v>Sheetal</c:v>
                </c:pt>
                <c:pt idx="15">
                  <c:v>Shilpa</c:v>
                </c:pt>
                <c:pt idx="16">
                  <c:v>Suman</c:v>
                </c:pt>
              </c:strCache>
            </c:strRef>
          </c:cat>
          <c:val>
            <c:numRef>
              <c:f>'TASK 15 &amp; 16 &amp; 17'!$D$27:$D$44</c:f>
              <c:numCache>
                <c:formatCode>General</c:formatCode>
                <c:ptCount val="17"/>
                <c:pt idx="4">
                  <c:v>78</c:v>
                </c:pt>
                <c:pt idx="7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C04-4D1D-AFF3-037C9F0AD941}"/>
            </c:ext>
          </c:extLst>
        </c:ser>
        <c:ser>
          <c:idx val="3"/>
          <c:order val="3"/>
          <c:tx>
            <c:strRef>
              <c:f>'TASK 15 &amp; 16 &amp; 17'!$E$25:$E$26</c:f>
              <c:strCache>
                <c:ptCount val="1"/>
                <c:pt idx="0">
                  <c:v>Marketing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7-27F9-410B-A483-4B6EC012198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9-27F9-410B-A483-4B6EC0121982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B-27F9-410B-A483-4B6EC0121982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D-27F9-410B-A483-4B6EC0121982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F-27F9-410B-A483-4B6EC0121982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1-27F9-410B-A483-4B6EC0121982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3-27F9-410B-A483-4B6EC0121982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5-27F9-410B-A483-4B6EC0121982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7-27F9-410B-A483-4B6EC0121982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9-27F9-410B-A483-4B6EC0121982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B-27F9-410B-A483-4B6EC0121982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D-27F9-410B-A483-4B6EC012198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F-27F9-410B-A483-4B6EC0121982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1-27F9-410B-A483-4B6EC0121982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3-27F9-410B-A483-4B6EC0121982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5-27F9-410B-A483-4B6EC0121982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7-27F9-410B-A483-4B6EC012198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15 &amp; 16 &amp; 17'!$A$27:$A$44</c:f>
              <c:strCache>
                <c:ptCount val="17"/>
                <c:pt idx="0">
                  <c:v>Aakash</c:v>
                </c:pt>
                <c:pt idx="1">
                  <c:v>Aalok</c:v>
                </c:pt>
                <c:pt idx="2">
                  <c:v>Andre</c:v>
                </c:pt>
                <c:pt idx="3">
                  <c:v>Beena</c:v>
                </c:pt>
                <c:pt idx="4">
                  <c:v>Javed</c:v>
                </c:pt>
                <c:pt idx="5">
                  <c:v>Julie</c:v>
                </c:pt>
                <c:pt idx="6">
                  <c:v>K. Sita</c:v>
                </c:pt>
                <c:pt idx="7">
                  <c:v>Meera</c:v>
                </c:pt>
                <c:pt idx="8">
                  <c:v>Neena</c:v>
                </c:pt>
                <c:pt idx="9">
                  <c:v>Pankaj</c:v>
                </c:pt>
                <c:pt idx="10">
                  <c:v>Parvati</c:v>
                </c:pt>
                <c:pt idx="11">
                  <c:v>Priya</c:v>
                </c:pt>
                <c:pt idx="12">
                  <c:v>Rahul</c:v>
                </c:pt>
                <c:pt idx="13">
                  <c:v>Seema</c:v>
                </c:pt>
                <c:pt idx="14">
                  <c:v>Sheetal</c:v>
                </c:pt>
                <c:pt idx="15">
                  <c:v>Shilpa</c:v>
                </c:pt>
                <c:pt idx="16">
                  <c:v>Suman</c:v>
                </c:pt>
              </c:strCache>
            </c:strRef>
          </c:cat>
          <c:val>
            <c:numRef>
              <c:f>'TASK 15 &amp; 16 &amp; 17'!$E$27:$E$44</c:f>
              <c:numCache>
                <c:formatCode>General</c:formatCode>
                <c:ptCount val="17"/>
                <c:pt idx="2">
                  <c:v>63</c:v>
                </c:pt>
                <c:pt idx="3">
                  <c:v>69</c:v>
                </c:pt>
                <c:pt idx="10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C04-4D1D-AFF3-037C9F0AD941}"/>
            </c:ext>
          </c:extLst>
        </c:ser>
        <c:ser>
          <c:idx val="4"/>
          <c:order val="4"/>
          <c:tx>
            <c:strRef>
              <c:f>'TASK 15 &amp; 16 &amp; 17'!$F$25:$F$26</c:f>
              <c:strCache>
                <c:ptCount val="1"/>
                <c:pt idx="0">
                  <c:v>Personal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9-27F9-410B-A483-4B6EC012198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B-27F9-410B-A483-4B6EC0121982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D-27F9-410B-A483-4B6EC0121982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F-27F9-410B-A483-4B6EC0121982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1-27F9-410B-A483-4B6EC0121982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3-27F9-410B-A483-4B6EC0121982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5-27F9-410B-A483-4B6EC0121982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7-27F9-410B-A483-4B6EC0121982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9-27F9-410B-A483-4B6EC0121982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B-27F9-410B-A483-4B6EC0121982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D-27F9-410B-A483-4B6EC0121982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F-27F9-410B-A483-4B6EC012198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1-27F9-410B-A483-4B6EC0121982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3-27F9-410B-A483-4B6EC0121982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5-27F9-410B-A483-4B6EC0121982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7-27F9-410B-A483-4B6EC0121982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9-27F9-410B-A483-4B6EC012198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15 &amp; 16 &amp; 17'!$A$27:$A$44</c:f>
              <c:strCache>
                <c:ptCount val="17"/>
                <c:pt idx="0">
                  <c:v>Aakash</c:v>
                </c:pt>
                <c:pt idx="1">
                  <c:v>Aalok</c:v>
                </c:pt>
                <c:pt idx="2">
                  <c:v>Andre</c:v>
                </c:pt>
                <c:pt idx="3">
                  <c:v>Beena</c:v>
                </c:pt>
                <c:pt idx="4">
                  <c:v>Javed</c:v>
                </c:pt>
                <c:pt idx="5">
                  <c:v>Julie</c:v>
                </c:pt>
                <c:pt idx="6">
                  <c:v>K. Sita</c:v>
                </c:pt>
                <c:pt idx="7">
                  <c:v>Meera</c:v>
                </c:pt>
                <c:pt idx="8">
                  <c:v>Neena</c:v>
                </c:pt>
                <c:pt idx="9">
                  <c:v>Pankaj</c:v>
                </c:pt>
                <c:pt idx="10">
                  <c:v>Parvati</c:v>
                </c:pt>
                <c:pt idx="11">
                  <c:v>Priya</c:v>
                </c:pt>
                <c:pt idx="12">
                  <c:v>Rahul</c:v>
                </c:pt>
                <c:pt idx="13">
                  <c:v>Seema</c:v>
                </c:pt>
                <c:pt idx="14">
                  <c:v>Sheetal</c:v>
                </c:pt>
                <c:pt idx="15">
                  <c:v>Shilpa</c:v>
                </c:pt>
                <c:pt idx="16">
                  <c:v>Suman</c:v>
                </c:pt>
              </c:strCache>
            </c:strRef>
          </c:cat>
          <c:val>
            <c:numRef>
              <c:f>'TASK 15 &amp; 16 &amp; 17'!$F$27:$F$44</c:f>
              <c:numCache>
                <c:formatCode>General</c:formatCode>
                <c:ptCount val="17"/>
                <c:pt idx="6">
                  <c:v>60</c:v>
                </c:pt>
                <c:pt idx="11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C04-4D1D-AFF3-037C9F0AD941}"/>
            </c:ext>
          </c:extLst>
        </c:ser>
        <c:ser>
          <c:idx val="5"/>
          <c:order val="5"/>
          <c:tx>
            <c:strRef>
              <c:f>'TASK 15 &amp; 16 &amp; 17'!$G$25:$G$26</c:f>
              <c:strCache>
                <c:ptCount val="1"/>
                <c:pt idx="0">
                  <c:v>R&amp;D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B-27F9-410B-A483-4B6EC012198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D-27F9-410B-A483-4B6EC0121982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F-27F9-410B-A483-4B6EC0121982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1-27F9-410B-A483-4B6EC0121982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3-27F9-410B-A483-4B6EC0121982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5-27F9-410B-A483-4B6EC0121982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7-27F9-410B-A483-4B6EC0121982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9-27F9-410B-A483-4B6EC0121982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B-27F9-410B-A483-4B6EC0121982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D-27F9-410B-A483-4B6EC0121982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F-27F9-410B-A483-4B6EC0121982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1-27F9-410B-A483-4B6EC012198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3-27F9-410B-A483-4B6EC0121982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5-27F9-410B-A483-4B6EC0121982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7-27F9-410B-A483-4B6EC0121982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9-27F9-410B-A483-4B6EC0121982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B-27F9-410B-A483-4B6EC012198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15 &amp; 16 &amp; 17'!$A$27:$A$44</c:f>
              <c:strCache>
                <c:ptCount val="17"/>
                <c:pt idx="0">
                  <c:v>Aakash</c:v>
                </c:pt>
                <c:pt idx="1">
                  <c:v>Aalok</c:v>
                </c:pt>
                <c:pt idx="2">
                  <c:v>Andre</c:v>
                </c:pt>
                <c:pt idx="3">
                  <c:v>Beena</c:v>
                </c:pt>
                <c:pt idx="4">
                  <c:v>Javed</c:v>
                </c:pt>
                <c:pt idx="5">
                  <c:v>Julie</c:v>
                </c:pt>
                <c:pt idx="6">
                  <c:v>K. Sita</c:v>
                </c:pt>
                <c:pt idx="7">
                  <c:v>Meera</c:v>
                </c:pt>
                <c:pt idx="8">
                  <c:v>Neena</c:v>
                </c:pt>
                <c:pt idx="9">
                  <c:v>Pankaj</c:v>
                </c:pt>
                <c:pt idx="10">
                  <c:v>Parvati</c:v>
                </c:pt>
                <c:pt idx="11">
                  <c:v>Priya</c:v>
                </c:pt>
                <c:pt idx="12">
                  <c:v>Rahul</c:v>
                </c:pt>
                <c:pt idx="13">
                  <c:v>Seema</c:v>
                </c:pt>
                <c:pt idx="14">
                  <c:v>Sheetal</c:v>
                </c:pt>
                <c:pt idx="15">
                  <c:v>Shilpa</c:v>
                </c:pt>
                <c:pt idx="16">
                  <c:v>Suman</c:v>
                </c:pt>
              </c:strCache>
            </c:strRef>
          </c:cat>
          <c:val>
            <c:numRef>
              <c:f>'TASK 15 &amp; 16 &amp; 17'!$G$27:$G$44</c:f>
              <c:numCache>
                <c:formatCode>General</c:formatCode>
                <c:ptCount val="17"/>
                <c:pt idx="5">
                  <c:v>66</c:v>
                </c:pt>
                <c:pt idx="8">
                  <c:v>72</c:v>
                </c:pt>
                <c:pt idx="13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C04-4D1D-AFF3-037C9F0AD941}"/>
            </c:ext>
          </c:extLst>
        </c:ser>
        <c:ser>
          <c:idx val="6"/>
          <c:order val="6"/>
          <c:tx>
            <c:strRef>
              <c:f>'TASK 15 &amp; 16 &amp; 17'!$H$25:$H$26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D-27F9-410B-A483-4B6EC012198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F-27F9-410B-A483-4B6EC0121982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1-27F9-410B-A483-4B6EC0121982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3-27F9-410B-A483-4B6EC0121982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5-27F9-410B-A483-4B6EC0121982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7-27F9-410B-A483-4B6EC0121982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9-27F9-410B-A483-4B6EC0121982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B-27F9-410B-A483-4B6EC0121982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D-27F9-410B-A483-4B6EC0121982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F-27F9-410B-A483-4B6EC0121982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1-27F9-410B-A483-4B6EC0121982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3-27F9-410B-A483-4B6EC012198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5-27F9-410B-A483-4B6EC0121982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7-27F9-410B-A483-4B6EC0121982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9-27F9-410B-A483-4B6EC0121982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B-27F9-410B-A483-4B6EC0121982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D-27F9-410B-A483-4B6EC012198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15 &amp; 16 &amp; 17'!$A$27:$A$44</c:f>
              <c:strCache>
                <c:ptCount val="17"/>
                <c:pt idx="0">
                  <c:v>Aakash</c:v>
                </c:pt>
                <c:pt idx="1">
                  <c:v>Aalok</c:v>
                </c:pt>
                <c:pt idx="2">
                  <c:v>Andre</c:v>
                </c:pt>
                <c:pt idx="3">
                  <c:v>Beena</c:v>
                </c:pt>
                <c:pt idx="4">
                  <c:v>Javed</c:v>
                </c:pt>
                <c:pt idx="5">
                  <c:v>Julie</c:v>
                </c:pt>
                <c:pt idx="6">
                  <c:v>K. Sita</c:v>
                </c:pt>
                <c:pt idx="7">
                  <c:v>Meera</c:v>
                </c:pt>
                <c:pt idx="8">
                  <c:v>Neena</c:v>
                </c:pt>
                <c:pt idx="9">
                  <c:v>Pankaj</c:v>
                </c:pt>
                <c:pt idx="10">
                  <c:v>Parvati</c:v>
                </c:pt>
                <c:pt idx="11">
                  <c:v>Priya</c:v>
                </c:pt>
                <c:pt idx="12">
                  <c:v>Rahul</c:v>
                </c:pt>
                <c:pt idx="13">
                  <c:v>Seema</c:v>
                </c:pt>
                <c:pt idx="14">
                  <c:v>Sheetal</c:v>
                </c:pt>
                <c:pt idx="15">
                  <c:v>Shilpa</c:v>
                </c:pt>
                <c:pt idx="16">
                  <c:v>Suman</c:v>
                </c:pt>
              </c:strCache>
            </c:strRef>
          </c:cat>
          <c:val>
            <c:numRef>
              <c:f>'TASK 15 &amp; 16 &amp; 17'!$H$27:$H$44</c:f>
              <c:numCache>
                <c:formatCode>General</c:formatCode>
                <c:ptCount val="17"/>
                <c:pt idx="9">
                  <c:v>81</c:v>
                </c:pt>
                <c:pt idx="12">
                  <c:v>75</c:v>
                </c:pt>
                <c:pt idx="16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C04-4D1D-AFF3-037C9F0AD94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1</xdr:row>
      <xdr:rowOff>166687</xdr:rowOff>
    </xdr:from>
    <xdr:to>
      <xdr:col>15</xdr:col>
      <xdr:colOff>304800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07E82B-6AE0-4CE4-82D7-054B7E169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</xdr:colOff>
      <xdr:row>18</xdr:row>
      <xdr:rowOff>176212</xdr:rowOff>
    </xdr:from>
    <xdr:to>
      <xdr:col>15</xdr:col>
      <xdr:colOff>389659</xdr:colOff>
      <xdr:row>33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21A5CA-767B-495F-8A43-8943CA7E8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2</xdr:row>
      <xdr:rowOff>23812</xdr:rowOff>
    </xdr:from>
    <xdr:to>
      <xdr:col>11</xdr:col>
      <xdr:colOff>742950</xdr:colOff>
      <xdr:row>16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2387B9-44E5-4DA8-AB24-7E26D89A3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66675</xdr:colOff>
      <xdr:row>17</xdr:row>
      <xdr:rowOff>147637</xdr:rowOff>
    </xdr:from>
    <xdr:to>
      <xdr:col>13</xdr:col>
      <xdr:colOff>657225</xdr:colOff>
      <xdr:row>32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B00A6C-0D81-4D09-8176-E6B814999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24</xdr:row>
      <xdr:rowOff>4762</xdr:rowOff>
    </xdr:from>
    <xdr:to>
      <xdr:col>16</xdr:col>
      <xdr:colOff>352425</xdr:colOff>
      <xdr:row>38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7F25EC-33C5-45D0-BE0F-A771F015C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4.613481944441" createdVersion="7" refreshedVersion="7" minRefreshableVersion="3" recordCount="50" xr:uid="{E83DF2E8-E167-4627-A797-00C60BEB5CAA}">
  <cacheSource type="worksheet">
    <worksheetSource ref="A1:W51" sheet="Mobile Shop Data"/>
  </cacheSource>
  <cacheFields count="24">
    <cacheField name="Order ID" numFmtId="0">
      <sharedItems count="50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  <s v="ORD021"/>
        <s v="ORD022"/>
        <s v="ORD023"/>
        <s v="ORD024"/>
        <s v="ORD025"/>
        <s v="ORD026"/>
        <s v="ORD027"/>
        <s v="ORD028"/>
        <s v="ORD029"/>
        <s v="ORD030"/>
        <s v="ORD031"/>
        <s v="ORD032"/>
        <s v="ORD033"/>
        <s v="ORD034"/>
        <s v="ORD035"/>
        <s v="ORD036"/>
        <s v="ORD037"/>
        <s v="ORD038"/>
        <s v="ORD039"/>
        <s v="ORD040"/>
        <s v="ORD041"/>
        <s v="ORD042"/>
        <s v="ORD043"/>
        <s v="ORD044"/>
        <s v="ORD045"/>
        <s v="ORD046"/>
        <s v="ORD047"/>
        <s v="ORD048"/>
        <s v="ORD049"/>
        <s v="ORD050"/>
      </sharedItems>
    </cacheField>
    <cacheField name="Emp ID" numFmtId="0">
      <sharedItems containsSemiMixedTypes="0" containsString="0" containsNumber="1" containsInteger="1" minValue="101" maxValue="117"/>
    </cacheField>
    <cacheField name="Employee Name" numFmtId="0">
      <sharedItems count="17">
        <s v="Rahul"/>
        <s v="Suman"/>
        <s v="Beena"/>
        <s v="Seema"/>
        <s v="Julie"/>
        <s v="Neena"/>
        <s v="Pankaj"/>
        <s v="Andre"/>
        <s v="Javed"/>
        <s v="Shilpa"/>
        <s v="Meera"/>
        <s v="Sheetal"/>
        <s v="K. Sita"/>
        <s v="Priya"/>
        <s v="Aalok"/>
        <s v="Aakash"/>
        <s v="Parvati"/>
      </sharedItems>
    </cacheField>
    <cacheField name="Department" numFmtId="0">
      <sharedItems count="7">
        <s v="Sales"/>
        <s v="Marketing"/>
        <s v="R&amp;D"/>
        <s v="Finance"/>
        <s v="Admin"/>
        <s v="Director"/>
        <s v="Personal"/>
      </sharedItems>
    </cacheField>
    <cacheField name="Region" numFmtId="0">
      <sharedItems/>
    </cacheField>
    <cacheField name="Gender" numFmtId="0">
      <sharedItems count="2">
        <s v="Male"/>
        <s v="Female"/>
      </sharedItems>
    </cacheField>
    <cacheField name="Joining Date" numFmtId="164">
      <sharedItems containsSemiMixedTypes="0" containsNonDate="0" containsDate="1" containsString="0" minDate="2025-01-05T00:00:00" maxDate="2025-02-26T00:00:00"/>
    </cacheField>
    <cacheField name="Attendance Days" numFmtId="0">
      <sharedItems containsSemiMixedTypes="0" containsString="0" containsNumber="1" containsInteger="1" minValue="20" maxValue="28"/>
    </cacheField>
    <cacheField name="Product ID" numFmtId="0">
      <sharedItems count="5">
        <s v="P001"/>
        <s v="P004"/>
        <s v="P007"/>
        <s v="P010"/>
        <s v="P013"/>
      </sharedItems>
    </cacheField>
    <cacheField name="Product" numFmtId="0">
      <sharedItems count="5">
        <s v="iPhone 15"/>
        <s v="Galaxy A35"/>
        <s v="Redmi Note 13"/>
        <s v="Realme 12 Pro"/>
        <s v="Galaxy Buds"/>
      </sharedItems>
    </cacheField>
    <cacheField name="Brand" numFmtId="0">
      <sharedItems count="4">
        <s v="Apple"/>
        <s v="Samsung"/>
        <s v="Xiaomi"/>
        <s v="Realme"/>
      </sharedItems>
    </cacheField>
    <cacheField name="Category" numFmtId="0">
      <sharedItems count="2">
        <s v="Smartphone"/>
        <s v="Accessory"/>
      </sharedItems>
    </cacheField>
    <cacheField name="Date" numFmtId="164">
      <sharedItems containsSemiMixedTypes="0" containsNonDate="0" containsDate="1" containsString="0" minDate="2026-01-05T00:00:00" maxDate="2026-04-14T00:00:00" count="50">
        <d v="2026-01-05T00:00:00"/>
        <d v="2026-01-07T00:00:00"/>
        <d v="2026-01-09T00:00:00"/>
        <d v="2026-01-11T00:00:00"/>
        <d v="2026-01-13T00:00:00"/>
        <d v="2026-01-15T00:00:00"/>
        <d v="2026-01-17T00:00:00"/>
        <d v="2026-01-19T00:00:00"/>
        <d v="2026-01-21T00:00:00"/>
        <d v="2026-01-23T00:00:00"/>
        <d v="2026-01-25T00:00:00"/>
        <d v="2026-01-27T00:00:00"/>
        <d v="2026-01-29T00:00:00"/>
        <d v="2026-01-31T00:00:00"/>
        <d v="2026-02-02T00:00:00"/>
        <d v="2026-02-04T00:00:00"/>
        <d v="2026-02-06T00:00:00"/>
        <d v="2026-02-08T00:00:00"/>
        <d v="2026-02-10T00:00:00"/>
        <d v="2026-02-12T00:00:00"/>
        <d v="2026-02-14T00:00:00"/>
        <d v="2026-02-16T00:00:00"/>
        <d v="2026-02-18T00:00:00"/>
        <d v="2026-02-20T00:00:00"/>
        <d v="2026-02-22T00:00:00"/>
        <d v="2026-02-24T00:00:00"/>
        <d v="2026-02-26T00:00:00"/>
        <d v="2026-02-28T00:00:00"/>
        <d v="2026-03-02T00:00:00"/>
        <d v="2026-03-04T00:00:00"/>
        <d v="2026-03-06T00:00:00"/>
        <d v="2026-03-08T00:00:00"/>
        <d v="2026-03-10T00:00:00"/>
        <d v="2026-03-12T00:00:00"/>
        <d v="2026-03-14T00:00:00"/>
        <d v="2026-03-16T00:00:00"/>
        <d v="2026-03-18T00:00:00"/>
        <d v="2026-03-20T00:00:00"/>
        <d v="2026-03-22T00:00:00"/>
        <d v="2026-03-24T00:00:00"/>
        <d v="2026-03-26T00:00:00"/>
        <d v="2026-03-28T00:00:00"/>
        <d v="2026-03-30T00:00:00"/>
        <d v="2026-04-01T00:00:00"/>
        <d v="2026-04-03T00:00:00"/>
        <d v="2026-04-05T00:00:00"/>
        <d v="2026-04-07T00:00:00"/>
        <d v="2026-04-09T00:00:00"/>
        <d v="2026-04-11T00:00:00"/>
        <d v="2026-04-13T00:00:00"/>
      </sharedItems>
      <fieldGroup par="23" base="12">
        <rangePr groupBy="quarters" startDate="2026-01-05T00:00:00" endDate="2026-04-14T00:00:00"/>
        <groupItems count="6">
          <s v="&lt;1/5/2026"/>
          <s v="Qtr1"/>
          <s v="Qtr2"/>
          <s v="Qtr3"/>
          <s v="Qtr4"/>
          <s v="&gt;4/14/2026"/>
        </groupItems>
      </fieldGroup>
    </cacheField>
    <cacheField name="Units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Unit Price" numFmtId="4">
      <sharedItems containsSemiMixedTypes="0" containsString="0" containsNumber="1" containsInteger="1" minValue="8999" maxValue="69999"/>
    </cacheField>
    <cacheField name="Discount %" numFmtId="0">
      <sharedItems containsSemiMixedTypes="0" containsString="0" containsNumber="1" containsInteger="1" minValue="0" maxValue="12"/>
    </cacheField>
    <cacheField name="Gross Sales" numFmtId="4">
      <sharedItems containsSemiMixedTypes="0" containsString="0" containsNumber="1" containsInteger="1" minValue="8999" maxValue="279996" count="10">
        <n v="69999"/>
        <n v="61998"/>
        <n v="16999"/>
        <n v="83997"/>
        <n v="17998"/>
        <n v="279996"/>
        <n v="30999"/>
        <n v="33998"/>
        <n v="139995"/>
        <n v="8999"/>
      </sharedItems>
    </cacheField>
    <cacheField name="Discount Amount" numFmtId="4">
      <sharedItems containsSemiMixedTypes="0" containsString="0" containsNumber="1" minValue="0" maxValue="33599.519999999997"/>
    </cacheField>
    <cacheField name="Total Sales" numFmtId="4">
      <sharedItems containsSemiMixedTypes="0" containsString="0" containsNumber="1" minValue="8549.0499999999993" maxValue="246396.48" count="10">
        <n v="69999"/>
        <n v="58898.1"/>
        <n v="15299.1"/>
        <n v="79797.149999999994"/>
        <n v="16558.16"/>
        <n v="246396.48"/>
        <n v="30999"/>
        <n v="31618.14"/>
        <n v="125995.5"/>
        <n v="8549.0499999999993"/>
      </sharedItems>
    </cacheField>
    <cacheField name="Deposit" numFmtId="4">
      <sharedItems containsSemiMixedTypes="0" containsString="0" containsNumber="1" minValue="1529.91" maxValue="73918.944000000003" count="20">
        <n v="6999.9000000000005"/>
        <n v="11779.62"/>
        <n v="3824.7750000000001"/>
        <n v="23939.145"/>
        <n v="1655.816"/>
        <n v="49279.296000000002"/>
        <n v="7749.75"/>
        <n v="9485.4419999999991"/>
        <n v="12599.55"/>
        <n v="1709.81"/>
        <n v="17499.75"/>
        <n v="17669.43"/>
        <n v="1529.91"/>
        <n v="15959.43"/>
        <n v="4139.54"/>
        <n v="73918.944000000003"/>
        <n v="3099.9"/>
        <n v="6323.6280000000006"/>
        <n v="31498.875"/>
        <n v="2564.7150000000001"/>
      </sharedItems>
    </cacheField>
    <cacheField name="Payment Method" numFmtId="0">
      <sharedItems count="5">
        <s v="Cash"/>
        <s v="UPI"/>
        <s v="Credit Card"/>
        <s v="Debit Card"/>
        <s v="EMI"/>
      </sharedItems>
    </cacheField>
    <cacheField name="Sales Channel" numFmtId="0">
      <sharedItems count="3">
        <s v="Store"/>
        <s v="Online"/>
        <s v="Phone"/>
      </sharedItems>
    </cacheField>
    <cacheField name="Customer" numFmtId="0">
      <sharedItems count="6">
        <s v="ABC Ltd"/>
        <s v="XYZ Pvt"/>
        <s v="PQR Ltd"/>
        <s v="LMN Ltd"/>
        <s v="DEF Ltd"/>
        <s v="GHI Ltd"/>
      </sharedItems>
    </cacheField>
    <cacheField name="Years" numFmtId="0" databaseField="0">
      <fieldGroup base="12">
        <rangePr groupBy="years" startDate="2026-01-05T00:00:00" endDate="2026-04-14T00:00:00"/>
        <groupItems count="3">
          <s v="&lt;1/5/2026"/>
          <s v="2026"/>
          <s v="&gt;4/1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5.931491203701" createdVersion="7" refreshedVersion="7" minRefreshableVersion="3" recordCount="10" xr:uid="{725DEFDA-2C58-447A-84AC-E1A51FFFD684}">
  <cacheSource type="worksheet">
    <worksheetSource ref="A1:D11" sheet="TASK 23 &amp; 24 &amp; 29"/>
  </cacheSource>
  <cacheFields count="4">
    <cacheField name="Employee ID" numFmtId="0">
      <sharedItems containsSemiMixedTypes="0" containsString="0" containsNumber="1" containsInteger="1" minValue="201" maxValue="210"/>
    </cacheField>
    <cacheField name="Employee Name" numFmtId="0">
      <sharedItems count="10">
        <s v="Aarav"/>
        <s v="Diya"/>
        <s v="Rohan"/>
        <s v="Meera"/>
        <s v="Kabir"/>
        <s v="Anaya"/>
        <s v="Vihaan"/>
        <s v="Isha"/>
        <s v="Arjun"/>
        <s v="Sara"/>
      </sharedItems>
    </cacheField>
    <cacheField name="Department" numFmtId="0">
      <sharedItems count="5">
        <s v="Sales"/>
        <s v="Marketing"/>
        <s v="R&amp;D"/>
        <s v="Admin"/>
        <s v="Personal"/>
      </sharedItems>
    </cacheField>
    <cacheField name="Salary" numFmtId="165">
      <sharedItems containsSemiMixedTypes="0" containsString="0" containsNumber="1" containsInteger="1" minValue="27000" maxValue="3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01"/>
    <x v="0"/>
    <x v="0"/>
    <s v="North"/>
    <x v="0"/>
    <d v="2025-01-05T00:00:00"/>
    <n v="25"/>
    <x v="0"/>
    <x v="0"/>
    <x v="0"/>
    <x v="0"/>
    <x v="0"/>
    <x v="0"/>
    <n v="69999"/>
    <n v="0"/>
    <x v="0"/>
    <n v="0"/>
    <x v="0"/>
    <x v="0"/>
    <x v="0"/>
    <x v="0"/>
    <x v="0"/>
  </r>
  <r>
    <x v="1"/>
    <n v="102"/>
    <x v="1"/>
    <x v="0"/>
    <s v="East"/>
    <x v="1"/>
    <d v="2025-01-08T00:00:00"/>
    <n v="24"/>
    <x v="1"/>
    <x v="1"/>
    <x v="1"/>
    <x v="0"/>
    <x v="1"/>
    <x v="1"/>
    <n v="30999"/>
    <n v="5"/>
    <x v="1"/>
    <n v="3099.9"/>
    <x v="1"/>
    <x v="1"/>
    <x v="1"/>
    <x v="1"/>
    <x v="1"/>
  </r>
  <r>
    <x v="2"/>
    <n v="103"/>
    <x v="2"/>
    <x v="1"/>
    <s v="North"/>
    <x v="1"/>
    <d v="2025-01-12T00:00:00"/>
    <n v="23"/>
    <x v="2"/>
    <x v="2"/>
    <x v="2"/>
    <x v="0"/>
    <x v="2"/>
    <x v="0"/>
    <n v="16999"/>
    <n v="10"/>
    <x v="2"/>
    <n v="1699.9"/>
    <x v="2"/>
    <x v="2"/>
    <x v="2"/>
    <x v="2"/>
    <x v="2"/>
  </r>
  <r>
    <x v="3"/>
    <n v="104"/>
    <x v="3"/>
    <x v="2"/>
    <s v="North"/>
    <x v="1"/>
    <d v="2025-01-15T00:00:00"/>
    <n v="26"/>
    <x v="3"/>
    <x v="3"/>
    <x v="3"/>
    <x v="0"/>
    <x v="3"/>
    <x v="2"/>
    <n v="27999"/>
    <n v="5"/>
    <x v="3"/>
    <n v="4199.8500000000004"/>
    <x v="3"/>
    <x v="3"/>
    <x v="3"/>
    <x v="0"/>
    <x v="3"/>
  </r>
  <r>
    <x v="4"/>
    <n v="105"/>
    <x v="4"/>
    <x v="2"/>
    <s v="West"/>
    <x v="1"/>
    <d v="2025-01-20T00:00:00"/>
    <n v="22"/>
    <x v="4"/>
    <x v="4"/>
    <x v="1"/>
    <x v="1"/>
    <x v="4"/>
    <x v="1"/>
    <n v="8999"/>
    <n v="8"/>
    <x v="4"/>
    <n v="1439.84"/>
    <x v="4"/>
    <x v="4"/>
    <x v="4"/>
    <x v="1"/>
    <x v="4"/>
  </r>
  <r>
    <x v="5"/>
    <n v="106"/>
    <x v="5"/>
    <x v="2"/>
    <s v="North"/>
    <x v="1"/>
    <d v="2025-01-22T00:00:00"/>
    <n v="24"/>
    <x v="0"/>
    <x v="0"/>
    <x v="0"/>
    <x v="0"/>
    <x v="5"/>
    <x v="3"/>
    <n v="69999"/>
    <n v="12"/>
    <x v="5"/>
    <n v="33599.519999999997"/>
    <x v="5"/>
    <x v="5"/>
    <x v="0"/>
    <x v="2"/>
    <x v="5"/>
  </r>
  <r>
    <x v="6"/>
    <n v="107"/>
    <x v="6"/>
    <x v="0"/>
    <s v="North"/>
    <x v="0"/>
    <d v="2025-01-25T00:00:00"/>
    <n v="27"/>
    <x v="1"/>
    <x v="1"/>
    <x v="1"/>
    <x v="0"/>
    <x v="6"/>
    <x v="0"/>
    <n v="30999"/>
    <n v="0"/>
    <x v="6"/>
    <n v="0"/>
    <x v="6"/>
    <x v="6"/>
    <x v="1"/>
    <x v="0"/>
    <x v="0"/>
  </r>
  <r>
    <x v="7"/>
    <n v="108"/>
    <x v="7"/>
    <x v="1"/>
    <s v="East"/>
    <x v="0"/>
    <d v="2025-01-28T00:00:00"/>
    <n v="21"/>
    <x v="2"/>
    <x v="2"/>
    <x v="2"/>
    <x v="0"/>
    <x v="7"/>
    <x v="1"/>
    <n v="16999"/>
    <n v="7"/>
    <x v="7"/>
    <n v="2379.86"/>
    <x v="7"/>
    <x v="7"/>
    <x v="2"/>
    <x v="1"/>
    <x v="1"/>
  </r>
  <r>
    <x v="8"/>
    <n v="109"/>
    <x v="8"/>
    <x v="3"/>
    <s v="West"/>
    <x v="0"/>
    <d v="2025-02-02T00:00:00"/>
    <n v="26"/>
    <x v="3"/>
    <x v="3"/>
    <x v="3"/>
    <x v="0"/>
    <x v="8"/>
    <x v="4"/>
    <n v="27999"/>
    <n v="10"/>
    <x v="8"/>
    <n v="13999.5"/>
    <x v="8"/>
    <x v="8"/>
    <x v="3"/>
    <x v="2"/>
    <x v="2"/>
  </r>
  <r>
    <x v="9"/>
    <n v="110"/>
    <x v="9"/>
    <x v="4"/>
    <s v="North"/>
    <x v="1"/>
    <d v="2025-02-05T00:00:00"/>
    <n v="25"/>
    <x v="4"/>
    <x v="4"/>
    <x v="1"/>
    <x v="1"/>
    <x v="9"/>
    <x v="0"/>
    <n v="8999"/>
    <n v="5"/>
    <x v="9"/>
    <n v="449.95"/>
    <x v="9"/>
    <x v="9"/>
    <x v="4"/>
    <x v="0"/>
    <x v="3"/>
  </r>
  <r>
    <x v="10"/>
    <n v="111"/>
    <x v="10"/>
    <x v="3"/>
    <s v="East"/>
    <x v="1"/>
    <d v="2025-02-08T00:00:00"/>
    <n v="27"/>
    <x v="0"/>
    <x v="0"/>
    <x v="0"/>
    <x v="0"/>
    <x v="10"/>
    <x v="0"/>
    <n v="69999"/>
    <n v="0"/>
    <x v="0"/>
    <n v="0"/>
    <x v="0"/>
    <x v="10"/>
    <x v="0"/>
    <x v="1"/>
    <x v="4"/>
  </r>
  <r>
    <x v="11"/>
    <n v="112"/>
    <x v="11"/>
    <x v="5"/>
    <s v="South"/>
    <x v="1"/>
    <d v="2025-02-12T00:00:00"/>
    <n v="28"/>
    <x v="1"/>
    <x v="1"/>
    <x v="1"/>
    <x v="0"/>
    <x v="11"/>
    <x v="1"/>
    <n v="30999"/>
    <n v="5"/>
    <x v="1"/>
    <n v="3099.9"/>
    <x v="1"/>
    <x v="11"/>
    <x v="1"/>
    <x v="2"/>
    <x v="5"/>
  </r>
  <r>
    <x v="12"/>
    <n v="113"/>
    <x v="12"/>
    <x v="6"/>
    <s v="North"/>
    <x v="1"/>
    <d v="2025-02-15T00:00:00"/>
    <n v="20"/>
    <x v="2"/>
    <x v="2"/>
    <x v="2"/>
    <x v="0"/>
    <x v="12"/>
    <x v="0"/>
    <n v="16999"/>
    <n v="10"/>
    <x v="2"/>
    <n v="1699.9"/>
    <x v="2"/>
    <x v="12"/>
    <x v="2"/>
    <x v="0"/>
    <x v="0"/>
  </r>
  <r>
    <x v="13"/>
    <n v="114"/>
    <x v="13"/>
    <x v="6"/>
    <s v="North"/>
    <x v="1"/>
    <d v="2025-02-18T00:00:00"/>
    <n v="22"/>
    <x v="3"/>
    <x v="3"/>
    <x v="3"/>
    <x v="0"/>
    <x v="13"/>
    <x v="2"/>
    <n v="27999"/>
    <n v="5"/>
    <x v="3"/>
    <n v="4199.8500000000004"/>
    <x v="3"/>
    <x v="13"/>
    <x v="3"/>
    <x v="1"/>
    <x v="1"/>
  </r>
  <r>
    <x v="14"/>
    <n v="115"/>
    <x v="14"/>
    <x v="4"/>
    <s v="East"/>
    <x v="0"/>
    <d v="2025-02-20T00:00:00"/>
    <n v="24"/>
    <x v="4"/>
    <x v="4"/>
    <x v="1"/>
    <x v="1"/>
    <x v="14"/>
    <x v="1"/>
    <n v="8999"/>
    <n v="8"/>
    <x v="4"/>
    <n v="1439.84"/>
    <x v="4"/>
    <x v="14"/>
    <x v="4"/>
    <x v="2"/>
    <x v="2"/>
  </r>
  <r>
    <x v="15"/>
    <n v="116"/>
    <x v="15"/>
    <x v="4"/>
    <s v="West"/>
    <x v="0"/>
    <d v="2025-02-22T00:00:00"/>
    <n v="23"/>
    <x v="0"/>
    <x v="0"/>
    <x v="0"/>
    <x v="0"/>
    <x v="15"/>
    <x v="3"/>
    <n v="69999"/>
    <n v="12"/>
    <x v="5"/>
    <n v="33599.519999999997"/>
    <x v="5"/>
    <x v="15"/>
    <x v="0"/>
    <x v="0"/>
    <x v="3"/>
  </r>
  <r>
    <x v="16"/>
    <n v="117"/>
    <x v="16"/>
    <x v="1"/>
    <s v="North"/>
    <x v="1"/>
    <d v="2025-02-25T00:00:00"/>
    <n v="26"/>
    <x v="1"/>
    <x v="1"/>
    <x v="1"/>
    <x v="0"/>
    <x v="16"/>
    <x v="0"/>
    <n v="30999"/>
    <n v="0"/>
    <x v="6"/>
    <n v="0"/>
    <x v="6"/>
    <x v="16"/>
    <x v="1"/>
    <x v="1"/>
    <x v="4"/>
  </r>
  <r>
    <x v="17"/>
    <n v="101"/>
    <x v="0"/>
    <x v="0"/>
    <s v="North"/>
    <x v="0"/>
    <d v="2025-01-05T00:00:00"/>
    <n v="25"/>
    <x v="2"/>
    <x v="2"/>
    <x v="2"/>
    <x v="0"/>
    <x v="17"/>
    <x v="1"/>
    <n v="16999"/>
    <n v="7"/>
    <x v="7"/>
    <n v="2379.86"/>
    <x v="7"/>
    <x v="17"/>
    <x v="2"/>
    <x v="2"/>
    <x v="5"/>
  </r>
  <r>
    <x v="18"/>
    <n v="102"/>
    <x v="1"/>
    <x v="0"/>
    <s v="East"/>
    <x v="1"/>
    <d v="2025-01-08T00:00:00"/>
    <n v="24"/>
    <x v="3"/>
    <x v="3"/>
    <x v="3"/>
    <x v="0"/>
    <x v="18"/>
    <x v="4"/>
    <n v="27999"/>
    <n v="10"/>
    <x v="8"/>
    <n v="13999.5"/>
    <x v="8"/>
    <x v="18"/>
    <x v="3"/>
    <x v="0"/>
    <x v="0"/>
  </r>
  <r>
    <x v="19"/>
    <n v="103"/>
    <x v="2"/>
    <x v="1"/>
    <s v="North"/>
    <x v="1"/>
    <d v="2025-01-12T00:00:00"/>
    <n v="23"/>
    <x v="4"/>
    <x v="4"/>
    <x v="1"/>
    <x v="1"/>
    <x v="19"/>
    <x v="0"/>
    <n v="8999"/>
    <n v="5"/>
    <x v="9"/>
    <n v="449.95"/>
    <x v="9"/>
    <x v="19"/>
    <x v="4"/>
    <x v="1"/>
    <x v="1"/>
  </r>
  <r>
    <x v="20"/>
    <n v="104"/>
    <x v="3"/>
    <x v="2"/>
    <s v="North"/>
    <x v="1"/>
    <d v="2025-01-15T00:00:00"/>
    <n v="26"/>
    <x v="0"/>
    <x v="0"/>
    <x v="0"/>
    <x v="0"/>
    <x v="20"/>
    <x v="0"/>
    <n v="69999"/>
    <n v="0"/>
    <x v="0"/>
    <n v="0"/>
    <x v="0"/>
    <x v="0"/>
    <x v="0"/>
    <x v="2"/>
    <x v="2"/>
  </r>
  <r>
    <x v="21"/>
    <n v="105"/>
    <x v="4"/>
    <x v="2"/>
    <s v="West"/>
    <x v="1"/>
    <d v="2025-01-20T00:00:00"/>
    <n v="22"/>
    <x v="1"/>
    <x v="1"/>
    <x v="1"/>
    <x v="0"/>
    <x v="21"/>
    <x v="1"/>
    <n v="30999"/>
    <n v="5"/>
    <x v="1"/>
    <n v="3099.9"/>
    <x v="1"/>
    <x v="1"/>
    <x v="1"/>
    <x v="0"/>
    <x v="3"/>
  </r>
  <r>
    <x v="22"/>
    <n v="106"/>
    <x v="5"/>
    <x v="2"/>
    <s v="North"/>
    <x v="1"/>
    <d v="2025-01-22T00:00:00"/>
    <n v="24"/>
    <x v="2"/>
    <x v="2"/>
    <x v="2"/>
    <x v="0"/>
    <x v="22"/>
    <x v="0"/>
    <n v="16999"/>
    <n v="10"/>
    <x v="2"/>
    <n v="1699.9"/>
    <x v="2"/>
    <x v="2"/>
    <x v="2"/>
    <x v="1"/>
    <x v="4"/>
  </r>
  <r>
    <x v="23"/>
    <n v="107"/>
    <x v="6"/>
    <x v="0"/>
    <s v="North"/>
    <x v="0"/>
    <d v="2025-01-25T00:00:00"/>
    <n v="27"/>
    <x v="3"/>
    <x v="3"/>
    <x v="3"/>
    <x v="0"/>
    <x v="23"/>
    <x v="2"/>
    <n v="27999"/>
    <n v="5"/>
    <x v="3"/>
    <n v="4199.8500000000004"/>
    <x v="3"/>
    <x v="3"/>
    <x v="3"/>
    <x v="2"/>
    <x v="5"/>
  </r>
  <r>
    <x v="24"/>
    <n v="108"/>
    <x v="7"/>
    <x v="1"/>
    <s v="East"/>
    <x v="0"/>
    <d v="2025-01-28T00:00:00"/>
    <n v="21"/>
    <x v="4"/>
    <x v="4"/>
    <x v="1"/>
    <x v="1"/>
    <x v="24"/>
    <x v="1"/>
    <n v="8999"/>
    <n v="8"/>
    <x v="4"/>
    <n v="1439.84"/>
    <x v="4"/>
    <x v="4"/>
    <x v="4"/>
    <x v="0"/>
    <x v="0"/>
  </r>
  <r>
    <x v="25"/>
    <n v="109"/>
    <x v="8"/>
    <x v="3"/>
    <s v="West"/>
    <x v="0"/>
    <d v="2025-02-02T00:00:00"/>
    <n v="26"/>
    <x v="0"/>
    <x v="0"/>
    <x v="0"/>
    <x v="0"/>
    <x v="25"/>
    <x v="3"/>
    <n v="69999"/>
    <n v="12"/>
    <x v="5"/>
    <n v="33599.519999999997"/>
    <x v="5"/>
    <x v="5"/>
    <x v="0"/>
    <x v="1"/>
    <x v="1"/>
  </r>
  <r>
    <x v="26"/>
    <n v="110"/>
    <x v="9"/>
    <x v="4"/>
    <s v="North"/>
    <x v="1"/>
    <d v="2025-02-05T00:00:00"/>
    <n v="25"/>
    <x v="1"/>
    <x v="1"/>
    <x v="1"/>
    <x v="0"/>
    <x v="26"/>
    <x v="0"/>
    <n v="30999"/>
    <n v="0"/>
    <x v="6"/>
    <n v="0"/>
    <x v="6"/>
    <x v="6"/>
    <x v="1"/>
    <x v="2"/>
    <x v="2"/>
  </r>
  <r>
    <x v="27"/>
    <n v="111"/>
    <x v="10"/>
    <x v="3"/>
    <s v="East"/>
    <x v="1"/>
    <d v="2025-02-08T00:00:00"/>
    <n v="27"/>
    <x v="2"/>
    <x v="2"/>
    <x v="2"/>
    <x v="0"/>
    <x v="27"/>
    <x v="1"/>
    <n v="16999"/>
    <n v="7"/>
    <x v="7"/>
    <n v="2379.86"/>
    <x v="7"/>
    <x v="7"/>
    <x v="2"/>
    <x v="0"/>
    <x v="3"/>
  </r>
  <r>
    <x v="28"/>
    <n v="112"/>
    <x v="11"/>
    <x v="5"/>
    <s v="South"/>
    <x v="1"/>
    <d v="2025-02-12T00:00:00"/>
    <n v="28"/>
    <x v="3"/>
    <x v="3"/>
    <x v="3"/>
    <x v="0"/>
    <x v="28"/>
    <x v="4"/>
    <n v="27999"/>
    <n v="10"/>
    <x v="8"/>
    <n v="13999.5"/>
    <x v="8"/>
    <x v="8"/>
    <x v="3"/>
    <x v="1"/>
    <x v="4"/>
  </r>
  <r>
    <x v="29"/>
    <n v="113"/>
    <x v="12"/>
    <x v="6"/>
    <s v="North"/>
    <x v="1"/>
    <d v="2025-02-15T00:00:00"/>
    <n v="20"/>
    <x v="4"/>
    <x v="4"/>
    <x v="1"/>
    <x v="1"/>
    <x v="29"/>
    <x v="0"/>
    <n v="8999"/>
    <n v="5"/>
    <x v="9"/>
    <n v="449.95"/>
    <x v="9"/>
    <x v="9"/>
    <x v="4"/>
    <x v="2"/>
    <x v="5"/>
  </r>
  <r>
    <x v="30"/>
    <n v="114"/>
    <x v="13"/>
    <x v="6"/>
    <s v="North"/>
    <x v="1"/>
    <d v="2025-02-18T00:00:00"/>
    <n v="22"/>
    <x v="0"/>
    <x v="0"/>
    <x v="0"/>
    <x v="0"/>
    <x v="30"/>
    <x v="0"/>
    <n v="69999"/>
    <n v="0"/>
    <x v="0"/>
    <n v="0"/>
    <x v="0"/>
    <x v="10"/>
    <x v="0"/>
    <x v="0"/>
    <x v="0"/>
  </r>
  <r>
    <x v="31"/>
    <n v="115"/>
    <x v="14"/>
    <x v="4"/>
    <s v="East"/>
    <x v="0"/>
    <d v="2025-02-20T00:00:00"/>
    <n v="24"/>
    <x v="1"/>
    <x v="1"/>
    <x v="1"/>
    <x v="0"/>
    <x v="31"/>
    <x v="1"/>
    <n v="30999"/>
    <n v="5"/>
    <x v="1"/>
    <n v="3099.9"/>
    <x v="1"/>
    <x v="11"/>
    <x v="1"/>
    <x v="1"/>
    <x v="1"/>
  </r>
  <r>
    <x v="32"/>
    <n v="116"/>
    <x v="15"/>
    <x v="4"/>
    <s v="West"/>
    <x v="0"/>
    <d v="2025-02-22T00:00:00"/>
    <n v="23"/>
    <x v="2"/>
    <x v="2"/>
    <x v="2"/>
    <x v="0"/>
    <x v="32"/>
    <x v="0"/>
    <n v="16999"/>
    <n v="10"/>
    <x v="2"/>
    <n v="1699.9"/>
    <x v="2"/>
    <x v="12"/>
    <x v="2"/>
    <x v="2"/>
    <x v="2"/>
  </r>
  <r>
    <x v="33"/>
    <n v="117"/>
    <x v="16"/>
    <x v="1"/>
    <s v="North"/>
    <x v="1"/>
    <d v="2025-02-25T00:00:00"/>
    <n v="26"/>
    <x v="3"/>
    <x v="3"/>
    <x v="3"/>
    <x v="0"/>
    <x v="33"/>
    <x v="2"/>
    <n v="27999"/>
    <n v="5"/>
    <x v="3"/>
    <n v="4199.8500000000004"/>
    <x v="3"/>
    <x v="13"/>
    <x v="3"/>
    <x v="0"/>
    <x v="3"/>
  </r>
  <r>
    <x v="34"/>
    <n v="101"/>
    <x v="0"/>
    <x v="0"/>
    <s v="North"/>
    <x v="0"/>
    <d v="2025-01-05T00:00:00"/>
    <n v="25"/>
    <x v="4"/>
    <x v="4"/>
    <x v="1"/>
    <x v="1"/>
    <x v="34"/>
    <x v="1"/>
    <n v="8999"/>
    <n v="8"/>
    <x v="4"/>
    <n v="1439.84"/>
    <x v="4"/>
    <x v="14"/>
    <x v="4"/>
    <x v="1"/>
    <x v="4"/>
  </r>
  <r>
    <x v="35"/>
    <n v="102"/>
    <x v="1"/>
    <x v="0"/>
    <s v="East"/>
    <x v="1"/>
    <d v="2025-01-08T00:00:00"/>
    <n v="24"/>
    <x v="0"/>
    <x v="0"/>
    <x v="0"/>
    <x v="0"/>
    <x v="35"/>
    <x v="3"/>
    <n v="69999"/>
    <n v="12"/>
    <x v="5"/>
    <n v="33599.519999999997"/>
    <x v="5"/>
    <x v="15"/>
    <x v="0"/>
    <x v="2"/>
    <x v="5"/>
  </r>
  <r>
    <x v="36"/>
    <n v="103"/>
    <x v="2"/>
    <x v="1"/>
    <s v="North"/>
    <x v="1"/>
    <d v="2025-01-12T00:00:00"/>
    <n v="23"/>
    <x v="1"/>
    <x v="1"/>
    <x v="1"/>
    <x v="0"/>
    <x v="36"/>
    <x v="0"/>
    <n v="30999"/>
    <n v="0"/>
    <x v="6"/>
    <n v="0"/>
    <x v="6"/>
    <x v="16"/>
    <x v="1"/>
    <x v="0"/>
    <x v="0"/>
  </r>
  <r>
    <x v="37"/>
    <n v="104"/>
    <x v="3"/>
    <x v="2"/>
    <s v="North"/>
    <x v="1"/>
    <d v="2025-01-15T00:00:00"/>
    <n v="26"/>
    <x v="2"/>
    <x v="2"/>
    <x v="2"/>
    <x v="0"/>
    <x v="37"/>
    <x v="1"/>
    <n v="16999"/>
    <n v="7"/>
    <x v="7"/>
    <n v="2379.86"/>
    <x v="7"/>
    <x v="17"/>
    <x v="2"/>
    <x v="1"/>
    <x v="1"/>
  </r>
  <r>
    <x v="38"/>
    <n v="105"/>
    <x v="4"/>
    <x v="2"/>
    <s v="West"/>
    <x v="1"/>
    <d v="2025-01-20T00:00:00"/>
    <n v="22"/>
    <x v="3"/>
    <x v="3"/>
    <x v="3"/>
    <x v="0"/>
    <x v="38"/>
    <x v="4"/>
    <n v="27999"/>
    <n v="10"/>
    <x v="8"/>
    <n v="13999.5"/>
    <x v="8"/>
    <x v="18"/>
    <x v="3"/>
    <x v="2"/>
    <x v="2"/>
  </r>
  <r>
    <x v="39"/>
    <n v="106"/>
    <x v="5"/>
    <x v="2"/>
    <s v="North"/>
    <x v="1"/>
    <d v="2025-01-22T00:00:00"/>
    <n v="24"/>
    <x v="4"/>
    <x v="4"/>
    <x v="1"/>
    <x v="1"/>
    <x v="39"/>
    <x v="0"/>
    <n v="8999"/>
    <n v="5"/>
    <x v="9"/>
    <n v="449.95"/>
    <x v="9"/>
    <x v="19"/>
    <x v="4"/>
    <x v="0"/>
    <x v="3"/>
  </r>
  <r>
    <x v="40"/>
    <n v="107"/>
    <x v="6"/>
    <x v="0"/>
    <s v="North"/>
    <x v="0"/>
    <d v="2025-01-25T00:00:00"/>
    <n v="27"/>
    <x v="0"/>
    <x v="0"/>
    <x v="0"/>
    <x v="0"/>
    <x v="40"/>
    <x v="0"/>
    <n v="69999"/>
    <n v="0"/>
    <x v="0"/>
    <n v="0"/>
    <x v="0"/>
    <x v="0"/>
    <x v="0"/>
    <x v="1"/>
    <x v="4"/>
  </r>
  <r>
    <x v="41"/>
    <n v="108"/>
    <x v="7"/>
    <x v="1"/>
    <s v="East"/>
    <x v="0"/>
    <d v="2025-01-28T00:00:00"/>
    <n v="21"/>
    <x v="1"/>
    <x v="1"/>
    <x v="1"/>
    <x v="0"/>
    <x v="41"/>
    <x v="1"/>
    <n v="30999"/>
    <n v="5"/>
    <x v="1"/>
    <n v="3099.9"/>
    <x v="1"/>
    <x v="1"/>
    <x v="1"/>
    <x v="2"/>
    <x v="5"/>
  </r>
  <r>
    <x v="42"/>
    <n v="109"/>
    <x v="8"/>
    <x v="3"/>
    <s v="West"/>
    <x v="0"/>
    <d v="2025-02-02T00:00:00"/>
    <n v="26"/>
    <x v="2"/>
    <x v="2"/>
    <x v="2"/>
    <x v="0"/>
    <x v="42"/>
    <x v="0"/>
    <n v="16999"/>
    <n v="10"/>
    <x v="2"/>
    <n v="1699.9"/>
    <x v="2"/>
    <x v="2"/>
    <x v="2"/>
    <x v="0"/>
    <x v="0"/>
  </r>
  <r>
    <x v="43"/>
    <n v="110"/>
    <x v="9"/>
    <x v="4"/>
    <s v="North"/>
    <x v="1"/>
    <d v="2025-02-05T00:00:00"/>
    <n v="25"/>
    <x v="3"/>
    <x v="3"/>
    <x v="3"/>
    <x v="0"/>
    <x v="43"/>
    <x v="2"/>
    <n v="27999"/>
    <n v="5"/>
    <x v="3"/>
    <n v="4199.8500000000004"/>
    <x v="3"/>
    <x v="3"/>
    <x v="3"/>
    <x v="1"/>
    <x v="1"/>
  </r>
  <r>
    <x v="44"/>
    <n v="111"/>
    <x v="10"/>
    <x v="3"/>
    <s v="East"/>
    <x v="1"/>
    <d v="2025-02-08T00:00:00"/>
    <n v="27"/>
    <x v="4"/>
    <x v="4"/>
    <x v="1"/>
    <x v="1"/>
    <x v="44"/>
    <x v="1"/>
    <n v="8999"/>
    <n v="8"/>
    <x v="4"/>
    <n v="1439.84"/>
    <x v="4"/>
    <x v="4"/>
    <x v="4"/>
    <x v="2"/>
    <x v="2"/>
  </r>
  <r>
    <x v="45"/>
    <n v="112"/>
    <x v="11"/>
    <x v="5"/>
    <s v="South"/>
    <x v="1"/>
    <d v="2025-02-12T00:00:00"/>
    <n v="28"/>
    <x v="0"/>
    <x v="0"/>
    <x v="0"/>
    <x v="0"/>
    <x v="45"/>
    <x v="3"/>
    <n v="69999"/>
    <n v="12"/>
    <x v="5"/>
    <n v="33599.519999999997"/>
    <x v="5"/>
    <x v="5"/>
    <x v="0"/>
    <x v="0"/>
    <x v="3"/>
  </r>
  <r>
    <x v="46"/>
    <n v="113"/>
    <x v="12"/>
    <x v="6"/>
    <s v="North"/>
    <x v="1"/>
    <d v="2025-02-15T00:00:00"/>
    <n v="20"/>
    <x v="1"/>
    <x v="1"/>
    <x v="1"/>
    <x v="0"/>
    <x v="46"/>
    <x v="0"/>
    <n v="30999"/>
    <n v="0"/>
    <x v="6"/>
    <n v="0"/>
    <x v="6"/>
    <x v="6"/>
    <x v="1"/>
    <x v="1"/>
    <x v="4"/>
  </r>
  <r>
    <x v="47"/>
    <n v="114"/>
    <x v="13"/>
    <x v="6"/>
    <s v="North"/>
    <x v="1"/>
    <d v="2025-02-18T00:00:00"/>
    <n v="22"/>
    <x v="2"/>
    <x v="2"/>
    <x v="2"/>
    <x v="0"/>
    <x v="47"/>
    <x v="1"/>
    <n v="16999"/>
    <n v="7"/>
    <x v="7"/>
    <n v="2379.86"/>
    <x v="7"/>
    <x v="7"/>
    <x v="2"/>
    <x v="2"/>
    <x v="5"/>
  </r>
  <r>
    <x v="48"/>
    <n v="115"/>
    <x v="14"/>
    <x v="4"/>
    <s v="East"/>
    <x v="0"/>
    <d v="2025-02-20T00:00:00"/>
    <n v="24"/>
    <x v="3"/>
    <x v="3"/>
    <x v="3"/>
    <x v="0"/>
    <x v="48"/>
    <x v="4"/>
    <n v="27999"/>
    <n v="10"/>
    <x v="8"/>
    <n v="13999.5"/>
    <x v="8"/>
    <x v="8"/>
    <x v="3"/>
    <x v="0"/>
    <x v="0"/>
  </r>
  <r>
    <x v="49"/>
    <n v="116"/>
    <x v="15"/>
    <x v="4"/>
    <s v="West"/>
    <x v="0"/>
    <d v="2025-02-22T00:00:00"/>
    <n v="23"/>
    <x v="4"/>
    <x v="4"/>
    <x v="1"/>
    <x v="1"/>
    <x v="49"/>
    <x v="0"/>
    <n v="8999"/>
    <n v="5"/>
    <x v="9"/>
    <n v="449.95"/>
    <x v="9"/>
    <x v="9"/>
    <x v="4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1"/>
    <x v="0"/>
    <x v="0"/>
    <n v="28000"/>
  </r>
  <r>
    <n v="202"/>
    <x v="1"/>
    <x v="1"/>
    <n v="32000"/>
  </r>
  <r>
    <n v="203"/>
    <x v="2"/>
    <x v="2"/>
    <n v="35000"/>
  </r>
  <r>
    <n v="204"/>
    <x v="3"/>
    <x v="1"/>
    <n v="30000"/>
  </r>
  <r>
    <n v="205"/>
    <x v="4"/>
    <x v="3"/>
    <n v="29000"/>
  </r>
  <r>
    <n v="206"/>
    <x v="5"/>
    <x v="1"/>
    <n v="34000"/>
  </r>
  <r>
    <n v="207"/>
    <x v="6"/>
    <x v="4"/>
    <n v="27000"/>
  </r>
  <r>
    <n v="208"/>
    <x v="7"/>
    <x v="0"/>
    <n v="31000"/>
  </r>
  <r>
    <n v="209"/>
    <x v="8"/>
    <x v="1"/>
    <n v="36000"/>
  </r>
  <r>
    <n v="210"/>
    <x v="9"/>
    <x v="2"/>
    <n v="3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A8E942-26E5-4940-A8B9-FEDCE42064C8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24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>
      <items count="8">
        <item x="4"/>
        <item x="5"/>
        <item x="3"/>
        <item x="1"/>
        <item x="6"/>
        <item x="2"/>
        <item x="0"/>
        <item t="default"/>
      </items>
    </pivotField>
    <pivotField showAll="0"/>
    <pivotField showAll="0"/>
    <pivotField numFmtId="164" showAll="0"/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4" showAll="0"/>
    <pivotField showAll="0"/>
    <pivotField numFmtId="4" showAll="0"/>
    <pivotField numFmtId="4" showAll="0"/>
    <pivotField dataField="1" numFmtId="4" showAll="0">
      <items count="11">
        <item x="9"/>
        <item x="2"/>
        <item x="4"/>
        <item x="6"/>
        <item x="7"/>
        <item x="1"/>
        <item x="0"/>
        <item x="3"/>
        <item x="8"/>
        <item x="5"/>
        <item t="default"/>
      </items>
    </pivotField>
    <pivotField numFmtId="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072C4-7A22-463C-AE91-2AE674650145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RODUCT">
  <location ref="A3:B9" firstHeaderRow="1" firstDataRow="1" firstDataCol="1"/>
  <pivotFields count="24"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4"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E93B02-A783-4E83-BA67-8EAA7B9223A0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5" firstHeaderRow="1" firstDataRow="2" firstDataCol="1"/>
  <pivotFields count="24">
    <pivotField showAll="0"/>
    <pivotField showAll="0"/>
    <pivotField showAll="0"/>
    <pivotField showAll="0">
      <items count="8">
        <item x="4"/>
        <item x="5"/>
        <item x="3"/>
        <item x="1"/>
        <item x="6"/>
        <item x="2"/>
        <item x="0"/>
        <item t="default"/>
      </items>
    </pivotField>
    <pivotField showAll="0"/>
    <pivotField showAll="0"/>
    <pivotField numFmtId="164" showAll="0"/>
    <pivotField showAll="0"/>
    <pivotField dataField="1" showAll="0"/>
    <pivotField axis="axisRow" showAll="0">
      <items count="6">
        <item x="1"/>
        <item x="4"/>
        <item x="0"/>
        <item x="3"/>
        <item x="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4"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</pivotFields>
  <rowFields count="2">
    <field x="9"/>
    <field x="10"/>
  </rowFields>
  <rowItems count="11">
    <i>
      <x/>
    </i>
    <i r="1">
      <x v="2"/>
    </i>
    <i>
      <x v="1"/>
    </i>
    <i r="1">
      <x v="2"/>
    </i>
    <i>
      <x v="2"/>
    </i>
    <i r="1">
      <x/>
    </i>
    <i>
      <x v="3"/>
    </i>
    <i r="1">
      <x v="1"/>
    </i>
    <i>
      <x v="4"/>
    </i>
    <i r="1"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Product ID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58152-80D1-4E84-A9B7-4E8C45FDC8E1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S12" firstHeaderRow="1" firstDataRow="2" firstDataCol="1" rowPageCount="1" colPageCount="1"/>
  <pivotFields count="24">
    <pivotField showAll="0"/>
    <pivotField showAll="0"/>
    <pivotField axis="axisCol" showAll="0">
      <items count="18">
        <item x="15"/>
        <item x="14"/>
        <item x="7"/>
        <item x="2"/>
        <item x="8"/>
        <item x="4"/>
        <item x="12"/>
        <item x="10"/>
        <item x="5"/>
        <item x="6"/>
        <item x="16"/>
        <item x="13"/>
        <item x="0"/>
        <item x="3"/>
        <item x="11"/>
        <item x="9"/>
        <item x="1"/>
        <item t="default"/>
      </items>
    </pivotField>
    <pivotField axis="axisRow" showAll="0">
      <items count="8">
        <item x="4"/>
        <item x="5"/>
        <item x="3"/>
        <item x="1"/>
        <item x="6"/>
        <item x="2"/>
        <item x="0"/>
        <item t="default"/>
      </items>
    </pivotField>
    <pivotField showAll="0"/>
    <pivotField axis="axisPage" multipleItemSelectionAllowed="1" showAll="0">
      <items count="3">
        <item x="1"/>
        <item x="0"/>
        <item t="default"/>
      </items>
    </pivotField>
    <pivotField numFmtId="164" showAll="0"/>
    <pivotField dataField="1" showAll="0"/>
    <pivotField showAll="0"/>
    <pivotField showAll="0"/>
    <pivotField showAll="0"/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4"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pageFields count="1">
    <pageField fld="5" hier="-1"/>
  </pageFields>
  <dataFields count="1">
    <dataField name="Sum of Attendance Day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CADDB-E166-4034-9D3B-CEB1A25B6B63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:G41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numFmtId="4" showAll="0"/>
    <pivotField showAll="0"/>
    <pivotField numFmtId="4" showAll="0"/>
    <pivotField numFmtId="4" showAll="0"/>
    <pivotField numFmtId="4" showAll="0">
      <items count="11">
        <item x="9"/>
        <item x="2"/>
        <item x="4"/>
        <item x="6"/>
        <item x="7"/>
        <item x="1"/>
        <item x="0"/>
        <item x="3"/>
        <item x="8"/>
        <item x="5"/>
        <item t="default"/>
      </items>
    </pivotField>
    <pivotField numFmtId="4" showAll="0">
      <items count="21">
        <item x="12"/>
        <item x="4"/>
        <item x="9"/>
        <item x="19"/>
        <item x="16"/>
        <item x="2"/>
        <item x="14"/>
        <item x="17"/>
        <item x="0"/>
        <item x="6"/>
        <item x="7"/>
        <item x="1"/>
        <item x="8"/>
        <item x="13"/>
        <item x="10"/>
        <item x="11"/>
        <item x="3"/>
        <item x="18"/>
        <item x="5"/>
        <item x="15"/>
        <item t="default"/>
      </items>
    </pivotField>
    <pivotField axis="axisCol" showAll="0">
      <items count="6">
        <item x="0"/>
        <item x="2"/>
        <item x="3"/>
        <item x="4"/>
        <item x="1"/>
        <item t="default"/>
      </items>
    </pivotField>
    <pivotField dataField="1" showAll="0"/>
    <pivotField axis="axisRow" showAll="0">
      <items count="7">
        <item x="0"/>
        <item x="4"/>
        <item x="5"/>
        <item x="3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2">
    <field x="22"/>
    <field x="9"/>
  </rowFields>
  <rowItems count="3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2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OTAL PRODUCT" fld="21" subtotal="count" baseField="0" baseItem="0"/>
  </dataFields>
  <chartFormats count="16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3" format="5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0"/>
          </reference>
          <reference field="22" count="1" selected="0">
            <x v="0"/>
          </reference>
        </references>
      </pivotArea>
    </chartFormat>
    <chartFormat chart="3" format="6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0"/>
          </reference>
          <reference field="22" count="1" selected="0">
            <x v="0"/>
          </reference>
        </references>
      </pivotArea>
    </chartFormat>
    <chartFormat chart="3" format="7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0"/>
          </reference>
          <reference field="22" count="1" selected="0">
            <x v="0"/>
          </reference>
        </references>
      </pivotArea>
    </chartFormat>
    <chartFormat chart="3" format="8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0"/>
          </reference>
          <reference field="22" count="1" selected="0">
            <x v="0"/>
          </reference>
        </references>
      </pivotArea>
    </chartFormat>
    <chartFormat chart="3" format="9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0"/>
          </reference>
          <reference field="22" count="1" selected="0">
            <x v="0"/>
          </reference>
        </references>
      </pivotArea>
    </chartFormat>
    <chartFormat chart="3" format="10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0"/>
          </reference>
          <reference field="22" count="1" selected="0">
            <x v="1"/>
          </reference>
        </references>
      </pivotArea>
    </chartFormat>
    <chartFormat chart="3" format="11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0"/>
          </reference>
          <reference field="22" count="1" selected="0">
            <x v="1"/>
          </reference>
        </references>
      </pivotArea>
    </chartFormat>
    <chartFormat chart="3" format="12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0"/>
          </reference>
          <reference field="22" count="1" selected="0">
            <x v="1"/>
          </reference>
        </references>
      </pivotArea>
    </chartFormat>
    <chartFormat chart="3" format="13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0"/>
          </reference>
          <reference field="22" count="1" selected="0">
            <x v="1"/>
          </reference>
        </references>
      </pivotArea>
    </chartFormat>
    <chartFormat chart="3" format="14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0"/>
          </reference>
          <reference field="22" count="1" selected="0">
            <x v="1"/>
          </reference>
        </references>
      </pivotArea>
    </chartFormat>
    <chartFormat chart="3" format="15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0"/>
          </reference>
          <reference field="22" count="1" selected="0">
            <x v="2"/>
          </reference>
        </references>
      </pivotArea>
    </chartFormat>
    <chartFormat chart="3" format="16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0"/>
          </reference>
          <reference field="22" count="1" selected="0">
            <x v="2"/>
          </reference>
        </references>
      </pivotArea>
    </chartFormat>
    <chartFormat chart="3" format="17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0"/>
          </reference>
          <reference field="22" count="1" selected="0">
            <x v="2"/>
          </reference>
        </references>
      </pivotArea>
    </chartFormat>
    <chartFormat chart="3" format="18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0"/>
          </reference>
          <reference field="22" count="1" selected="0">
            <x v="2"/>
          </reference>
        </references>
      </pivotArea>
    </chartFormat>
    <chartFormat chart="3" format="19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0"/>
          </reference>
          <reference field="22" count="1" selected="0">
            <x v="2"/>
          </reference>
        </references>
      </pivotArea>
    </chartFormat>
    <chartFormat chart="3" format="20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0"/>
          </reference>
          <reference field="22" count="1" selected="0">
            <x v="3"/>
          </reference>
        </references>
      </pivotArea>
    </chartFormat>
    <chartFormat chart="3" format="21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0"/>
          </reference>
          <reference field="22" count="1" selected="0">
            <x v="3"/>
          </reference>
        </references>
      </pivotArea>
    </chartFormat>
    <chartFormat chart="3" format="22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0"/>
          </reference>
          <reference field="22" count="1" selected="0">
            <x v="3"/>
          </reference>
        </references>
      </pivotArea>
    </chartFormat>
    <chartFormat chart="3" format="23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0"/>
          </reference>
          <reference field="22" count="1" selected="0">
            <x v="3"/>
          </reference>
        </references>
      </pivotArea>
    </chartFormat>
    <chartFormat chart="3" format="24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0"/>
          </reference>
          <reference field="22" count="1" selected="0">
            <x v="3"/>
          </reference>
        </references>
      </pivotArea>
    </chartFormat>
    <chartFormat chart="3" format="25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0"/>
          </reference>
          <reference field="22" count="1" selected="0">
            <x v="4"/>
          </reference>
        </references>
      </pivotArea>
    </chartFormat>
    <chartFormat chart="3" format="26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0"/>
          </reference>
          <reference field="22" count="1" selected="0">
            <x v="4"/>
          </reference>
        </references>
      </pivotArea>
    </chartFormat>
    <chartFormat chart="3" format="27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0"/>
          </reference>
          <reference field="22" count="1" selected="0">
            <x v="4"/>
          </reference>
        </references>
      </pivotArea>
    </chartFormat>
    <chartFormat chart="3" format="28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0"/>
          </reference>
          <reference field="22" count="1" selected="0">
            <x v="4"/>
          </reference>
        </references>
      </pivotArea>
    </chartFormat>
    <chartFormat chart="3" format="29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0"/>
          </reference>
          <reference field="22" count="1" selected="0">
            <x v="4"/>
          </reference>
        </references>
      </pivotArea>
    </chartFormat>
    <chartFormat chart="3" format="30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0"/>
          </reference>
          <reference field="22" count="1" selected="0">
            <x v="5"/>
          </reference>
        </references>
      </pivotArea>
    </chartFormat>
    <chartFormat chart="3" format="31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0"/>
          </reference>
          <reference field="22" count="1" selected="0">
            <x v="5"/>
          </reference>
        </references>
      </pivotArea>
    </chartFormat>
    <chartFormat chart="3" format="32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0"/>
          </reference>
          <reference field="22" count="1" selected="0">
            <x v="5"/>
          </reference>
        </references>
      </pivotArea>
    </chartFormat>
    <chartFormat chart="3" format="33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0"/>
          </reference>
          <reference field="22" count="1" selected="0">
            <x v="5"/>
          </reference>
        </references>
      </pivotArea>
    </chartFormat>
    <chartFormat chart="3" format="34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0"/>
          </reference>
          <reference field="22" count="1" selected="0">
            <x v="5"/>
          </reference>
        </references>
      </pivotArea>
    </chartFormat>
    <chartFormat chart="3" format="35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1"/>
          </reference>
          <reference field="22" count="1" selected="0">
            <x v="0"/>
          </reference>
        </references>
      </pivotArea>
    </chartFormat>
    <chartFormat chart="3" format="36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1"/>
          </reference>
          <reference field="22" count="1" selected="0">
            <x v="0"/>
          </reference>
        </references>
      </pivotArea>
    </chartFormat>
    <chartFormat chart="3" format="37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1"/>
          </reference>
          <reference field="22" count="1" selected="0">
            <x v="0"/>
          </reference>
        </references>
      </pivotArea>
    </chartFormat>
    <chartFormat chart="3" format="38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1"/>
          </reference>
          <reference field="22" count="1" selected="0">
            <x v="0"/>
          </reference>
        </references>
      </pivotArea>
    </chartFormat>
    <chartFormat chart="3" format="39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1"/>
          </reference>
          <reference field="22" count="1" selected="0">
            <x v="0"/>
          </reference>
        </references>
      </pivotArea>
    </chartFormat>
    <chartFormat chart="3" format="40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1"/>
          </reference>
          <reference field="22" count="1" selected="0">
            <x v="1"/>
          </reference>
        </references>
      </pivotArea>
    </chartFormat>
    <chartFormat chart="3" format="41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1"/>
          </reference>
          <reference field="22" count="1" selected="0">
            <x v="1"/>
          </reference>
        </references>
      </pivotArea>
    </chartFormat>
    <chartFormat chart="3" format="42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1"/>
          </reference>
          <reference field="22" count="1" selected="0">
            <x v="1"/>
          </reference>
        </references>
      </pivotArea>
    </chartFormat>
    <chartFormat chart="3" format="43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1"/>
          </reference>
          <reference field="22" count="1" selected="0">
            <x v="1"/>
          </reference>
        </references>
      </pivotArea>
    </chartFormat>
    <chartFormat chart="3" format="44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1"/>
          </reference>
          <reference field="22" count="1" selected="0">
            <x v="1"/>
          </reference>
        </references>
      </pivotArea>
    </chartFormat>
    <chartFormat chart="3" format="45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1"/>
          </reference>
          <reference field="22" count="1" selected="0">
            <x v="2"/>
          </reference>
        </references>
      </pivotArea>
    </chartFormat>
    <chartFormat chart="3" format="46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1"/>
          </reference>
          <reference field="22" count="1" selected="0">
            <x v="2"/>
          </reference>
        </references>
      </pivotArea>
    </chartFormat>
    <chartFormat chart="3" format="47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1"/>
          </reference>
          <reference field="22" count="1" selected="0">
            <x v="2"/>
          </reference>
        </references>
      </pivotArea>
    </chartFormat>
    <chartFormat chart="3" format="48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1"/>
          </reference>
          <reference field="22" count="1" selected="0">
            <x v="2"/>
          </reference>
        </references>
      </pivotArea>
    </chartFormat>
    <chartFormat chart="3" format="49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1"/>
          </reference>
          <reference field="22" count="1" selected="0">
            <x v="2"/>
          </reference>
        </references>
      </pivotArea>
    </chartFormat>
    <chartFormat chart="3" format="50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1"/>
          </reference>
          <reference field="22" count="1" selected="0">
            <x v="3"/>
          </reference>
        </references>
      </pivotArea>
    </chartFormat>
    <chartFormat chart="3" format="51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1"/>
          </reference>
          <reference field="22" count="1" selected="0">
            <x v="3"/>
          </reference>
        </references>
      </pivotArea>
    </chartFormat>
    <chartFormat chart="3" format="52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1"/>
          </reference>
          <reference field="22" count="1" selected="0">
            <x v="3"/>
          </reference>
        </references>
      </pivotArea>
    </chartFormat>
    <chartFormat chart="3" format="53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1"/>
          </reference>
          <reference field="22" count="1" selected="0">
            <x v="3"/>
          </reference>
        </references>
      </pivotArea>
    </chartFormat>
    <chartFormat chart="3" format="54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1"/>
          </reference>
          <reference field="22" count="1" selected="0">
            <x v="3"/>
          </reference>
        </references>
      </pivotArea>
    </chartFormat>
    <chartFormat chart="3" format="55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1"/>
          </reference>
          <reference field="22" count="1" selected="0">
            <x v="4"/>
          </reference>
        </references>
      </pivotArea>
    </chartFormat>
    <chartFormat chart="3" format="56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1"/>
          </reference>
          <reference field="22" count="1" selected="0">
            <x v="4"/>
          </reference>
        </references>
      </pivotArea>
    </chartFormat>
    <chartFormat chart="3" format="57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1"/>
          </reference>
          <reference field="22" count="1" selected="0">
            <x v="4"/>
          </reference>
        </references>
      </pivotArea>
    </chartFormat>
    <chartFormat chart="3" format="58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1"/>
          </reference>
          <reference field="22" count="1" selected="0">
            <x v="4"/>
          </reference>
        </references>
      </pivotArea>
    </chartFormat>
    <chartFormat chart="3" format="59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1"/>
          </reference>
          <reference field="22" count="1" selected="0">
            <x v="4"/>
          </reference>
        </references>
      </pivotArea>
    </chartFormat>
    <chartFormat chart="3" format="60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1"/>
          </reference>
          <reference field="22" count="1" selected="0">
            <x v="5"/>
          </reference>
        </references>
      </pivotArea>
    </chartFormat>
    <chartFormat chart="3" format="61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1"/>
          </reference>
          <reference field="22" count="1" selected="0">
            <x v="5"/>
          </reference>
        </references>
      </pivotArea>
    </chartFormat>
    <chartFormat chart="3" format="62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1"/>
          </reference>
          <reference field="22" count="1" selected="0">
            <x v="5"/>
          </reference>
        </references>
      </pivotArea>
    </chartFormat>
    <chartFormat chart="3" format="63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1"/>
          </reference>
          <reference field="22" count="1" selected="0">
            <x v="5"/>
          </reference>
        </references>
      </pivotArea>
    </chartFormat>
    <chartFormat chart="3" format="64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1"/>
          </reference>
          <reference field="22" count="1" selected="0">
            <x v="5"/>
          </reference>
        </references>
      </pivotArea>
    </chartFormat>
    <chartFormat chart="3" format="65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2"/>
          </reference>
          <reference field="22" count="1" selected="0">
            <x v="0"/>
          </reference>
        </references>
      </pivotArea>
    </chartFormat>
    <chartFormat chart="3" format="66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2"/>
          </reference>
          <reference field="22" count="1" selected="0">
            <x v="0"/>
          </reference>
        </references>
      </pivotArea>
    </chartFormat>
    <chartFormat chart="3" format="67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2"/>
          </reference>
          <reference field="22" count="1" selected="0">
            <x v="0"/>
          </reference>
        </references>
      </pivotArea>
    </chartFormat>
    <chartFormat chart="3" format="68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2"/>
          </reference>
          <reference field="22" count="1" selected="0">
            <x v="0"/>
          </reference>
        </references>
      </pivotArea>
    </chartFormat>
    <chartFormat chart="3" format="69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2"/>
          </reference>
          <reference field="22" count="1" selected="0">
            <x v="0"/>
          </reference>
        </references>
      </pivotArea>
    </chartFormat>
    <chartFormat chart="3" format="70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2"/>
          </reference>
          <reference field="22" count="1" selected="0">
            <x v="1"/>
          </reference>
        </references>
      </pivotArea>
    </chartFormat>
    <chartFormat chart="3" format="71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2"/>
          </reference>
          <reference field="22" count="1" selected="0">
            <x v="1"/>
          </reference>
        </references>
      </pivotArea>
    </chartFormat>
    <chartFormat chart="3" format="72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2"/>
          </reference>
          <reference field="22" count="1" selected="0">
            <x v="1"/>
          </reference>
        </references>
      </pivotArea>
    </chartFormat>
    <chartFormat chart="3" format="73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2"/>
          </reference>
          <reference field="22" count="1" selected="0">
            <x v="1"/>
          </reference>
        </references>
      </pivotArea>
    </chartFormat>
    <chartFormat chart="3" format="74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2"/>
          </reference>
          <reference field="22" count="1" selected="0">
            <x v="1"/>
          </reference>
        </references>
      </pivotArea>
    </chartFormat>
    <chartFormat chart="3" format="75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2"/>
          </reference>
          <reference field="22" count="1" selected="0">
            <x v="2"/>
          </reference>
        </references>
      </pivotArea>
    </chartFormat>
    <chartFormat chart="3" format="76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2"/>
          </reference>
          <reference field="22" count="1" selected="0">
            <x v="2"/>
          </reference>
        </references>
      </pivotArea>
    </chartFormat>
    <chartFormat chart="3" format="77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2"/>
          </reference>
          <reference field="22" count="1" selected="0">
            <x v="2"/>
          </reference>
        </references>
      </pivotArea>
    </chartFormat>
    <chartFormat chart="3" format="78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2"/>
          </reference>
          <reference field="22" count="1" selected="0">
            <x v="2"/>
          </reference>
        </references>
      </pivotArea>
    </chartFormat>
    <chartFormat chart="3" format="79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2"/>
          </reference>
          <reference field="22" count="1" selected="0">
            <x v="2"/>
          </reference>
        </references>
      </pivotArea>
    </chartFormat>
    <chartFormat chart="3" format="80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2"/>
          </reference>
          <reference field="22" count="1" selected="0">
            <x v="3"/>
          </reference>
        </references>
      </pivotArea>
    </chartFormat>
    <chartFormat chart="3" format="81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2"/>
          </reference>
          <reference field="22" count="1" selected="0">
            <x v="3"/>
          </reference>
        </references>
      </pivotArea>
    </chartFormat>
    <chartFormat chart="3" format="82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2"/>
          </reference>
          <reference field="22" count="1" selected="0">
            <x v="3"/>
          </reference>
        </references>
      </pivotArea>
    </chartFormat>
    <chartFormat chart="3" format="83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2"/>
          </reference>
          <reference field="22" count="1" selected="0">
            <x v="3"/>
          </reference>
        </references>
      </pivotArea>
    </chartFormat>
    <chartFormat chart="3" format="84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2"/>
          </reference>
          <reference field="22" count="1" selected="0">
            <x v="3"/>
          </reference>
        </references>
      </pivotArea>
    </chartFormat>
    <chartFormat chart="3" format="85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2"/>
          </reference>
          <reference field="22" count="1" selected="0">
            <x v="4"/>
          </reference>
        </references>
      </pivotArea>
    </chartFormat>
    <chartFormat chart="3" format="86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2"/>
          </reference>
          <reference field="22" count="1" selected="0">
            <x v="4"/>
          </reference>
        </references>
      </pivotArea>
    </chartFormat>
    <chartFormat chart="3" format="87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2"/>
          </reference>
          <reference field="22" count="1" selected="0">
            <x v="4"/>
          </reference>
        </references>
      </pivotArea>
    </chartFormat>
    <chartFormat chart="3" format="88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2"/>
          </reference>
          <reference field="22" count="1" selected="0">
            <x v="4"/>
          </reference>
        </references>
      </pivotArea>
    </chartFormat>
    <chartFormat chart="3" format="89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2"/>
          </reference>
          <reference field="22" count="1" selected="0">
            <x v="4"/>
          </reference>
        </references>
      </pivotArea>
    </chartFormat>
    <chartFormat chart="3" format="90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2"/>
          </reference>
          <reference field="22" count="1" selected="0">
            <x v="5"/>
          </reference>
        </references>
      </pivotArea>
    </chartFormat>
    <chartFormat chart="3" format="91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2"/>
          </reference>
          <reference field="22" count="1" selected="0">
            <x v="5"/>
          </reference>
        </references>
      </pivotArea>
    </chartFormat>
    <chartFormat chart="3" format="92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2"/>
          </reference>
          <reference field="22" count="1" selected="0">
            <x v="5"/>
          </reference>
        </references>
      </pivotArea>
    </chartFormat>
    <chartFormat chart="3" format="93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2"/>
          </reference>
          <reference field="22" count="1" selected="0">
            <x v="5"/>
          </reference>
        </references>
      </pivotArea>
    </chartFormat>
    <chartFormat chart="3" format="94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2"/>
          </reference>
          <reference field="22" count="1" selected="0">
            <x v="5"/>
          </reference>
        </references>
      </pivotArea>
    </chartFormat>
    <chartFormat chart="3" format="95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3"/>
          </reference>
          <reference field="22" count="1" selected="0">
            <x v="0"/>
          </reference>
        </references>
      </pivotArea>
    </chartFormat>
    <chartFormat chart="3" format="96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3"/>
          </reference>
          <reference field="22" count="1" selected="0">
            <x v="0"/>
          </reference>
        </references>
      </pivotArea>
    </chartFormat>
    <chartFormat chart="3" format="97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3"/>
          </reference>
          <reference field="22" count="1" selected="0">
            <x v="0"/>
          </reference>
        </references>
      </pivotArea>
    </chartFormat>
    <chartFormat chart="3" format="98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3"/>
          </reference>
          <reference field="22" count="1" selected="0">
            <x v="0"/>
          </reference>
        </references>
      </pivotArea>
    </chartFormat>
    <chartFormat chart="3" format="99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3"/>
          </reference>
          <reference field="22" count="1" selected="0">
            <x v="0"/>
          </reference>
        </references>
      </pivotArea>
    </chartFormat>
    <chartFormat chart="3" format="100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3"/>
          </reference>
          <reference field="22" count="1" selected="0">
            <x v="1"/>
          </reference>
        </references>
      </pivotArea>
    </chartFormat>
    <chartFormat chart="3" format="101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3"/>
          </reference>
          <reference field="22" count="1" selected="0">
            <x v="1"/>
          </reference>
        </references>
      </pivotArea>
    </chartFormat>
    <chartFormat chart="3" format="102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3"/>
          </reference>
          <reference field="22" count="1" selected="0">
            <x v="1"/>
          </reference>
        </references>
      </pivotArea>
    </chartFormat>
    <chartFormat chart="3" format="103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3"/>
          </reference>
          <reference field="22" count="1" selected="0">
            <x v="1"/>
          </reference>
        </references>
      </pivotArea>
    </chartFormat>
    <chartFormat chart="3" format="104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3"/>
          </reference>
          <reference field="22" count="1" selected="0">
            <x v="1"/>
          </reference>
        </references>
      </pivotArea>
    </chartFormat>
    <chartFormat chart="3" format="105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3"/>
          </reference>
          <reference field="22" count="1" selected="0">
            <x v="2"/>
          </reference>
        </references>
      </pivotArea>
    </chartFormat>
    <chartFormat chart="3" format="106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3"/>
          </reference>
          <reference field="22" count="1" selected="0">
            <x v="2"/>
          </reference>
        </references>
      </pivotArea>
    </chartFormat>
    <chartFormat chart="3" format="107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3"/>
          </reference>
          <reference field="22" count="1" selected="0">
            <x v="2"/>
          </reference>
        </references>
      </pivotArea>
    </chartFormat>
    <chartFormat chart="3" format="108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3"/>
          </reference>
          <reference field="22" count="1" selected="0">
            <x v="2"/>
          </reference>
        </references>
      </pivotArea>
    </chartFormat>
    <chartFormat chart="3" format="109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3"/>
          </reference>
          <reference field="22" count="1" selected="0">
            <x v="2"/>
          </reference>
        </references>
      </pivotArea>
    </chartFormat>
    <chartFormat chart="3" format="110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3"/>
          </reference>
          <reference field="22" count="1" selected="0">
            <x v="3"/>
          </reference>
        </references>
      </pivotArea>
    </chartFormat>
    <chartFormat chart="3" format="111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3"/>
          </reference>
          <reference field="22" count="1" selected="0">
            <x v="3"/>
          </reference>
        </references>
      </pivotArea>
    </chartFormat>
    <chartFormat chart="3" format="112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3"/>
          </reference>
          <reference field="22" count="1" selected="0">
            <x v="3"/>
          </reference>
        </references>
      </pivotArea>
    </chartFormat>
    <chartFormat chart="3" format="113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3"/>
          </reference>
          <reference field="22" count="1" selected="0">
            <x v="3"/>
          </reference>
        </references>
      </pivotArea>
    </chartFormat>
    <chartFormat chart="3" format="114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3"/>
          </reference>
          <reference field="22" count="1" selected="0">
            <x v="3"/>
          </reference>
        </references>
      </pivotArea>
    </chartFormat>
    <chartFormat chart="3" format="115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3"/>
          </reference>
          <reference field="22" count="1" selected="0">
            <x v="4"/>
          </reference>
        </references>
      </pivotArea>
    </chartFormat>
    <chartFormat chart="3" format="116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3"/>
          </reference>
          <reference field="22" count="1" selected="0">
            <x v="4"/>
          </reference>
        </references>
      </pivotArea>
    </chartFormat>
    <chartFormat chart="3" format="117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3"/>
          </reference>
          <reference field="22" count="1" selected="0">
            <x v="4"/>
          </reference>
        </references>
      </pivotArea>
    </chartFormat>
    <chartFormat chart="3" format="118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3"/>
          </reference>
          <reference field="22" count="1" selected="0">
            <x v="4"/>
          </reference>
        </references>
      </pivotArea>
    </chartFormat>
    <chartFormat chart="3" format="119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3"/>
          </reference>
          <reference field="22" count="1" selected="0">
            <x v="4"/>
          </reference>
        </references>
      </pivotArea>
    </chartFormat>
    <chartFormat chart="3" format="120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3"/>
          </reference>
          <reference field="22" count="1" selected="0">
            <x v="5"/>
          </reference>
        </references>
      </pivotArea>
    </chartFormat>
    <chartFormat chart="3" format="121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3"/>
          </reference>
          <reference field="22" count="1" selected="0">
            <x v="5"/>
          </reference>
        </references>
      </pivotArea>
    </chartFormat>
    <chartFormat chart="3" format="122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3"/>
          </reference>
          <reference field="22" count="1" selected="0">
            <x v="5"/>
          </reference>
        </references>
      </pivotArea>
    </chartFormat>
    <chartFormat chart="3" format="123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3"/>
          </reference>
          <reference field="22" count="1" selected="0">
            <x v="5"/>
          </reference>
        </references>
      </pivotArea>
    </chartFormat>
    <chartFormat chart="3" format="124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3"/>
          </reference>
          <reference field="22" count="1" selected="0">
            <x v="5"/>
          </reference>
        </references>
      </pivotArea>
    </chartFormat>
    <chartFormat chart="3" format="125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4"/>
          </reference>
          <reference field="22" count="1" selected="0">
            <x v="0"/>
          </reference>
        </references>
      </pivotArea>
    </chartFormat>
    <chartFormat chart="3" format="126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4"/>
          </reference>
          <reference field="22" count="1" selected="0">
            <x v="0"/>
          </reference>
        </references>
      </pivotArea>
    </chartFormat>
    <chartFormat chart="3" format="127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4"/>
          </reference>
          <reference field="22" count="1" selected="0">
            <x v="0"/>
          </reference>
        </references>
      </pivotArea>
    </chartFormat>
    <chartFormat chart="3" format="128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4"/>
          </reference>
          <reference field="22" count="1" selected="0">
            <x v="0"/>
          </reference>
        </references>
      </pivotArea>
    </chartFormat>
    <chartFormat chart="3" format="129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4"/>
          </reference>
          <reference field="22" count="1" selected="0">
            <x v="0"/>
          </reference>
        </references>
      </pivotArea>
    </chartFormat>
    <chartFormat chart="3" format="130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4"/>
          </reference>
          <reference field="22" count="1" selected="0">
            <x v="1"/>
          </reference>
        </references>
      </pivotArea>
    </chartFormat>
    <chartFormat chart="3" format="131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4"/>
          </reference>
          <reference field="22" count="1" selected="0">
            <x v="1"/>
          </reference>
        </references>
      </pivotArea>
    </chartFormat>
    <chartFormat chart="3" format="132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4"/>
          </reference>
          <reference field="22" count="1" selected="0">
            <x v="1"/>
          </reference>
        </references>
      </pivotArea>
    </chartFormat>
    <chartFormat chart="3" format="133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4"/>
          </reference>
          <reference field="22" count="1" selected="0">
            <x v="1"/>
          </reference>
        </references>
      </pivotArea>
    </chartFormat>
    <chartFormat chart="3" format="134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4"/>
          </reference>
          <reference field="22" count="1" selected="0">
            <x v="1"/>
          </reference>
        </references>
      </pivotArea>
    </chartFormat>
    <chartFormat chart="3" format="135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4"/>
          </reference>
          <reference field="22" count="1" selected="0">
            <x v="2"/>
          </reference>
        </references>
      </pivotArea>
    </chartFormat>
    <chartFormat chart="3" format="136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4"/>
          </reference>
          <reference field="22" count="1" selected="0">
            <x v="2"/>
          </reference>
        </references>
      </pivotArea>
    </chartFormat>
    <chartFormat chart="3" format="137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4"/>
          </reference>
          <reference field="22" count="1" selected="0">
            <x v="2"/>
          </reference>
        </references>
      </pivotArea>
    </chartFormat>
    <chartFormat chart="3" format="138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4"/>
          </reference>
          <reference field="22" count="1" selected="0">
            <x v="2"/>
          </reference>
        </references>
      </pivotArea>
    </chartFormat>
    <chartFormat chart="3" format="139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4"/>
          </reference>
          <reference field="22" count="1" selected="0">
            <x v="2"/>
          </reference>
        </references>
      </pivotArea>
    </chartFormat>
    <chartFormat chart="3" format="140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4"/>
          </reference>
          <reference field="22" count="1" selected="0">
            <x v="3"/>
          </reference>
        </references>
      </pivotArea>
    </chartFormat>
    <chartFormat chart="3" format="141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4"/>
          </reference>
          <reference field="22" count="1" selected="0">
            <x v="3"/>
          </reference>
        </references>
      </pivotArea>
    </chartFormat>
    <chartFormat chart="3" format="142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4"/>
          </reference>
          <reference field="22" count="1" selected="0">
            <x v="3"/>
          </reference>
        </references>
      </pivotArea>
    </chartFormat>
    <chartFormat chart="3" format="143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4"/>
          </reference>
          <reference field="22" count="1" selected="0">
            <x v="3"/>
          </reference>
        </references>
      </pivotArea>
    </chartFormat>
    <chartFormat chart="3" format="144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4"/>
          </reference>
          <reference field="22" count="1" selected="0">
            <x v="3"/>
          </reference>
        </references>
      </pivotArea>
    </chartFormat>
    <chartFormat chart="3" format="145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4"/>
          </reference>
          <reference field="22" count="1" selected="0">
            <x v="4"/>
          </reference>
        </references>
      </pivotArea>
    </chartFormat>
    <chartFormat chart="3" format="146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4"/>
          </reference>
          <reference field="22" count="1" selected="0">
            <x v="4"/>
          </reference>
        </references>
      </pivotArea>
    </chartFormat>
    <chartFormat chart="3" format="147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4"/>
          </reference>
          <reference field="22" count="1" selected="0">
            <x v="4"/>
          </reference>
        </references>
      </pivotArea>
    </chartFormat>
    <chartFormat chart="3" format="148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4"/>
          </reference>
          <reference field="22" count="1" selected="0">
            <x v="4"/>
          </reference>
        </references>
      </pivotArea>
    </chartFormat>
    <chartFormat chart="3" format="149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4"/>
          </reference>
          <reference field="22" count="1" selected="0">
            <x v="4"/>
          </reference>
        </references>
      </pivotArea>
    </chartFormat>
    <chartFormat chart="3" format="150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0" count="1" selected="0">
            <x v="4"/>
          </reference>
          <reference field="22" count="1" selected="0">
            <x v="5"/>
          </reference>
        </references>
      </pivotArea>
    </chartFormat>
    <chartFormat chart="3" format="151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20" count="1" selected="0">
            <x v="4"/>
          </reference>
          <reference field="22" count="1" selected="0">
            <x v="5"/>
          </reference>
        </references>
      </pivotArea>
    </chartFormat>
    <chartFormat chart="3" format="152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20" count="1" selected="0">
            <x v="4"/>
          </reference>
          <reference field="22" count="1" selected="0">
            <x v="5"/>
          </reference>
        </references>
      </pivotArea>
    </chartFormat>
    <chartFormat chart="3" format="153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20" count="1" selected="0">
            <x v="4"/>
          </reference>
          <reference field="22" count="1" selected="0">
            <x v="5"/>
          </reference>
        </references>
      </pivotArea>
    </chartFormat>
    <chartFormat chart="3" format="154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20" count="1" selected="0">
            <x v="4"/>
          </reference>
          <reference field="2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26B5C-FA57-4493-9848-C0CDB8348B60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3">
  <location ref="A18:I37" firstHeaderRow="1" firstDataRow="2" firstDataCol="1" rowPageCount="1" colPageCount="1"/>
  <pivotFields count="24">
    <pivotField showAll="0"/>
    <pivotField showAll="0"/>
    <pivotField axis="axisRow" showAll="0">
      <items count="18">
        <item x="15"/>
        <item x="14"/>
        <item x="7"/>
        <item x="2"/>
        <item x="8"/>
        <item x="4"/>
        <item x="12"/>
        <item x="10"/>
        <item x="5"/>
        <item x="6"/>
        <item x="16"/>
        <item x="13"/>
        <item x="0"/>
        <item x="3"/>
        <item x="11"/>
        <item x="9"/>
        <item x="1"/>
        <item t="default"/>
      </items>
    </pivotField>
    <pivotField axis="axisCol" showAll="0">
      <items count="8">
        <item x="4"/>
        <item x="5"/>
        <item x="3"/>
        <item x="1"/>
        <item x="6"/>
        <item x="2"/>
        <item x="0"/>
        <item t="default"/>
      </items>
    </pivotField>
    <pivotField showAll="0"/>
    <pivotField axis="axisPage" multipleItemSelectionAllowed="1" showAll="0">
      <items count="3">
        <item x="1"/>
        <item x="0"/>
        <item t="default"/>
      </items>
    </pivotField>
    <pivotField numFmtId="164" showAll="0"/>
    <pivotField dataField="1" showAll="0"/>
    <pivotField showAll="0"/>
    <pivotField showAll="0"/>
    <pivotField showAll="0"/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4"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showAll="0">
      <items count="7">
        <item x="0"/>
        <item x="4"/>
        <item x="5"/>
        <item x="3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5" hier="-1"/>
  </pageFields>
  <dataFields count="1">
    <dataField name="Sum of Attendance Days" fld="7" baseField="0" baseItem="0"/>
  </dataFields>
  <chartFormats count="7"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3E88F-2181-4443-8D00-53288A4E35B4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>
  <location ref="A3:F10" firstHeaderRow="1" firstDataRow="2" firstDataCol="1" rowPageCount="1" colPageCount="1"/>
  <pivotFields count="24"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1"/>
        <item x="4"/>
        <item x="0"/>
        <item x="3"/>
        <item x="2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numFmtId="4" showAll="0"/>
    <pivotField showAll="0"/>
    <pivotField numFmtId="4" showAll="0">
      <items count="11">
        <item x="9"/>
        <item x="2"/>
        <item x="4"/>
        <item x="6"/>
        <item x="7"/>
        <item x="1"/>
        <item x="0"/>
        <item x="3"/>
        <item x="8"/>
        <item x="5"/>
        <item t="default"/>
      </items>
    </pivotField>
    <pivotField numFmtId="4" showAll="0"/>
    <pivotField dataField="1" numFmtId="4" showAll="0"/>
    <pivotField numFmtId="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pageFields count="1">
    <pageField fld="11" hier="-1"/>
  </pageFields>
  <dataFields count="1">
    <dataField name="Sum of Total Sales" fld="18" baseField="0" baseItem="0"/>
  </dataFields>
  <chartFormats count="5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2F892-CD6B-4C55-AA01-6C5C1B35494F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1"/>
        <item x="4"/>
        <item x="0"/>
        <item x="3"/>
        <item x="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numFmtId="4"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Unit Price" fld="14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77033-E692-493C-8A67-8003B099FF79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G9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axis="axisCol" dataField="1" showAll="0">
      <items count="6">
        <item x="1"/>
        <item x="4"/>
        <item x="0"/>
        <item x="3"/>
        <item x="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4"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roduct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49184-A3F6-4C24-9EDC-325ADA2CC6BE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numFmtId="4"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Unit Price" fld="14" subtotal="average" baseField="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FEB23-24E5-40B5-BE12-68F9F8515EB1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2">
  <location ref="A25:I44" firstHeaderRow="1" firstDataRow="2" firstDataCol="1"/>
  <pivotFields count="24">
    <pivotField showAll="0"/>
    <pivotField showAll="0"/>
    <pivotField axis="axisRow" showAll="0">
      <items count="18">
        <item x="15"/>
        <item x="14"/>
        <item x="7"/>
        <item x="2"/>
        <item x="8"/>
        <item x="4"/>
        <item x="12"/>
        <item x="10"/>
        <item x="5"/>
        <item x="6"/>
        <item x="16"/>
        <item x="13"/>
        <item x="0"/>
        <item x="3"/>
        <item x="11"/>
        <item x="9"/>
        <item x="1"/>
        <item t="default"/>
      </items>
    </pivotField>
    <pivotField axis="axisCol" showAll="0">
      <items count="8">
        <item x="4"/>
        <item x="5"/>
        <item x="3"/>
        <item x="1"/>
        <item x="6"/>
        <item x="2"/>
        <item x="0"/>
        <item t="default"/>
      </items>
    </pivotField>
    <pivotField showAll="0"/>
    <pivotField showAll="0"/>
    <pivotField numFmtId="164" showAll="0"/>
    <pivotField dataField="1" showAll="0"/>
    <pivotField showAll="0"/>
    <pivotField showAll="0"/>
    <pivotField showAll="0"/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4"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Attendance Days" fld="7" baseField="0" baseItem="0"/>
  </dataFields>
  <chartFormats count="126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1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21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21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21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21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21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0"/>
          </reference>
        </references>
      </pivotArea>
    </chartFormat>
    <chartFormat chart="21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0"/>
          </reference>
        </references>
      </pivotArea>
    </chartFormat>
    <chartFormat chart="21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3" count="1" selected="0">
            <x v="0"/>
          </reference>
        </references>
      </pivotArea>
    </chartFormat>
    <chartFormat chart="21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3" count="1" selected="0">
            <x v="0"/>
          </reference>
        </references>
      </pivotArea>
    </chartFormat>
    <chartFormat chart="21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3" count="1" selected="0">
            <x v="0"/>
          </reference>
        </references>
      </pivotArea>
    </chartFormat>
    <chartFormat chart="21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3" count="1" selected="0">
            <x v="0"/>
          </reference>
        </references>
      </pivotArea>
    </chartFormat>
    <chartFormat chart="21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3" count="1" selected="0">
            <x v="0"/>
          </reference>
        </references>
      </pivotArea>
    </chartFormat>
    <chartFormat chart="21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3" count="1" selected="0">
            <x v="0"/>
          </reference>
        </references>
      </pivotArea>
    </chartFormat>
    <chartFormat chart="21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13"/>
          </reference>
          <reference field="3" count="1" selected="0">
            <x v="0"/>
          </reference>
        </references>
      </pivotArea>
    </chartFormat>
    <chartFormat chart="21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14"/>
          </reference>
          <reference field="3" count="1" selected="0">
            <x v="0"/>
          </reference>
        </references>
      </pivotArea>
    </chartFormat>
    <chartFormat chart="21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15"/>
          </reference>
          <reference field="3" count="1" selected="0">
            <x v="0"/>
          </reference>
        </references>
      </pivotArea>
    </chartFormat>
    <chartFormat chart="21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16"/>
          </reference>
          <reference field="3" count="1" selected="0">
            <x v="0"/>
          </reference>
        </references>
      </pivotArea>
    </chartFormat>
    <chartFormat chart="21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21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21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21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21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21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"/>
          </reference>
        </references>
      </pivotArea>
    </chartFormat>
    <chartFormat chart="21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"/>
          </reference>
        </references>
      </pivotArea>
    </chartFormat>
    <chartFormat chart="21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3" count="1" selected="0">
            <x v="1"/>
          </reference>
        </references>
      </pivotArea>
    </chartFormat>
    <chartFormat chart="21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3" count="1" selected="0">
            <x v="1"/>
          </reference>
        </references>
      </pivotArea>
    </chartFormat>
    <chartFormat chart="21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3" count="1" selected="0">
            <x v="1"/>
          </reference>
        </references>
      </pivotArea>
    </chartFormat>
    <chartFormat chart="21" format="34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3" count="1" selected="0">
            <x v="1"/>
          </reference>
        </references>
      </pivotArea>
    </chartFormat>
    <chartFormat chart="21" format="35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3" count="1" selected="0">
            <x v="1"/>
          </reference>
        </references>
      </pivotArea>
    </chartFormat>
    <chartFormat chart="21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3" count="1" selected="0">
            <x v="1"/>
          </reference>
        </references>
      </pivotArea>
    </chartFormat>
    <chartFormat chart="21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13"/>
          </reference>
          <reference field="3" count="1" selected="0">
            <x v="1"/>
          </reference>
        </references>
      </pivotArea>
    </chartFormat>
    <chartFormat chart="21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14"/>
          </reference>
          <reference field="3" count="1" selected="0">
            <x v="1"/>
          </reference>
        </references>
      </pivotArea>
    </chartFormat>
    <chartFormat chart="21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15"/>
          </reference>
          <reference field="3" count="1" selected="0">
            <x v="1"/>
          </reference>
        </references>
      </pivotArea>
    </chartFormat>
    <chartFormat chart="21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16"/>
          </reference>
          <reference field="3" count="1" selected="0">
            <x v="1"/>
          </reference>
        </references>
      </pivotArea>
    </chartFormat>
    <chartFormat chart="21" format="4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21" format="4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21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21" format="4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21" format="4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21" format="46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</references>
      </pivotArea>
    </chartFormat>
    <chartFormat chart="21" format="47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2"/>
          </reference>
        </references>
      </pivotArea>
    </chartFormat>
    <chartFormat chart="21" format="48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3" count="1" selected="0">
            <x v="2"/>
          </reference>
        </references>
      </pivotArea>
    </chartFormat>
    <chartFormat chart="21" format="49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3" count="1" selected="0">
            <x v="2"/>
          </reference>
        </references>
      </pivotArea>
    </chartFormat>
    <chartFormat chart="21" format="50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3" count="1" selected="0">
            <x v="2"/>
          </reference>
        </references>
      </pivotArea>
    </chartFormat>
    <chartFormat chart="21" format="51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3" count="1" selected="0">
            <x v="2"/>
          </reference>
        </references>
      </pivotArea>
    </chartFormat>
    <chartFormat chart="21" format="52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3" count="1" selected="0">
            <x v="2"/>
          </reference>
        </references>
      </pivotArea>
    </chartFormat>
    <chartFormat chart="21" format="53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3" count="1" selected="0">
            <x v="2"/>
          </reference>
        </references>
      </pivotArea>
    </chartFormat>
    <chartFormat chart="21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13"/>
          </reference>
          <reference field="3" count="1" selected="0">
            <x v="2"/>
          </reference>
        </references>
      </pivotArea>
    </chartFormat>
    <chartFormat chart="21" format="55">
      <pivotArea type="data" outline="0" fieldPosition="0">
        <references count="3">
          <reference field="4294967294" count="1" selected="0">
            <x v="0"/>
          </reference>
          <reference field="2" count="1" selected="0">
            <x v="14"/>
          </reference>
          <reference field="3" count="1" selected="0">
            <x v="2"/>
          </reference>
        </references>
      </pivotArea>
    </chartFormat>
    <chartFormat chart="21" format="56">
      <pivotArea type="data" outline="0" fieldPosition="0">
        <references count="3">
          <reference field="4294967294" count="1" selected="0">
            <x v="0"/>
          </reference>
          <reference field="2" count="1" selected="0">
            <x v="15"/>
          </reference>
          <reference field="3" count="1" selected="0">
            <x v="2"/>
          </reference>
        </references>
      </pivotArea>
    </chartFormat>
    <chartFormat chart="21" format="57">
      <pivotArea type="data" outline="0" fieldPosition="0">
        <references count="3">
          <reference field="4294967294" count="1" selected="0">
            <x v="0"/>
          </reference>
          <reference field="2" count="1" selected="0">
            <x v="16"/>
          </reference>
          <reference field="3" count="1" selected="0">
            <x v="2"/>
          </reference>
        </references>
      </pivotArea>
    </chartFormat>
    <chartFormat chart="21" format="5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21" format="5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21" format="6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21" format="6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21" format="6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21" format="63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3"/>
          </reference>
        </references>
      </pivotArea>
    </chartFormat>
    <chartFormat chart="21" format="64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3"/>
          </reference>
        </references>
      </pivotArea>
    </chartFormat>
    <chartFormat chart="21" format="65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3" count="1" selected="0">
            <x v="3"/>
          </reference>
        </references>
      </pivotArea>
    </chartFormat>
    <chartFormat chart="21" format="66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3" count="1" selected="0">
            <x v="3"/>
          </reference>
        </references>
      </pivotArea>
    </chartFormat>
    <chartFormat chart="21" format="67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3" count="1" selected="0">
            <x v="3"/>
          </reference>
        </references>
      </pivotArea>
    </chartFormat>
    <chartFormat chart="21" format="68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3" count="1" selected="0">
            <x v="3"/>
          </reference>
        </references>
      </pivotArea>
    </chartFormat>
    <chartFormat chart="21" format="69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3" count="1" selected="0">
            <x v="3"/>
          </reference>
        </references>
      </pivotArea>
    </chartFormat>
    <chartFormat chart="21" format="70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3" count="1" selected="0">
            <x v="3"/>
          </reference>
        </references>
      </pivotArea>
    </chartFormat>
    <chartFormat chart="21" format="71">
      <pivotArea type="data" outline="0" fieldPosition="0">
        <references count="3">
          <reference field="4294967294" count="1" selected="0">
            <x v="0"/>
          </reference>
          <reference field="2" count="1" selected="0">
            <x v="13"/>
          </reference>
          <reference field="3" count="1" selected="0">
            <x v="3"/>
          </reference>
        </references>
      </pivotArea>
    </chartFormat>
    <chartFormat chart="21" format="72">
      <pivotArea type="data" outline="0" fieldPosition="0">
        <references count="3">
          <reference field="4294967294" count="1" selected="0">
            <x v="0"/>
          </reference>
          <reference field="2" count="1" selected="0">
            <x v="14"/>
          </reference>
          <reference field="3" count="1" selected="0">
            <x v="3"/>
          </reference>
        </references>
      </pivotArea>
    </chartFormat>
    <chartFormat chart="21" format="73">
      <pivotArea type="data" outline="0" fieldPosition="0">
        <references count="3">
          <reference field="4294967294" count="1" selected="0">
            <x v="0"/>
          </reference>
          <reference field="2" count="1" selected="0">
            <x v="15"/>
          </reference>
          <reference field="3" count="1" selected="0">
            <x v="3"/>
          </reference>
        </references>
      </pivotArea>
    </chartFormat>
    <chartFormat chart="21" format="74">
      <pivotArea type="data" outline="0" fieldPosition="0">
        <references count="3">
          <reference field="4294967294" count="1" selected="0">
            <x v="0"/>
          </reference>
          <reference field="2" count="1" selected="0">
            <x v="16"/>
          </reference>
          <reference field="3" count="1" selected="0">
            <x v="3"/>
          </reference>
        </references>
      </pivotArea>
    </chartFormat>
    <chartFormat chart="21" format="7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21" format="7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21" format="7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21" format="7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21" format="7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  <chartFormat chart="21" format="80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4"/>
          </reference>
        </references>
      </pivotArea>
    </chartFormat>
    <chartFormat chart="21" format="8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4"/>
          </reference>
        </references>
      </pivotArea>
    </chartFormat>
    <chartFormat chart="21" format="82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3" count="1" selected="0">
            <x v="4"/>
          </reference>
        </references>
      </pivotArea>
    </chartFormat>
    <chartFormat chart="21" format="83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3" count="1" selected="0">
            <x v="4"/>
          </reference>
        </references>
      </pivotArea>
    </chartFormat>
    <chartFormat chart="21" format="84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3" count="1" selected="0">
            <x v="4"/>
          </reference>
        </references>
      </pivotArea>
    </chartFormat>
    <chartFormat chart="21" format="85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3" count="1" selected="0">
            <x v="4"/>
          </reference>
        </references>
      </pivotArea>
    </chartFormat>
    <chartFormat chart="21" format="86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3" count="1" selected="0">
            <x v="4"/>
          </reference>
        </references>
      </pivotArea>
    </chartFormat>
    <chartFormat chart="21" format="87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3" count="1" selected="0">
            <x v="4"/>
          </reference>
        </references>
      </pivotArea>
    </chartFormat>
    <chartFormat chart="21" format="88">
      <pivotArea type="data" outline="0" fieldPosition="0">
        <references count="3">
          <reference field="4294967294" count="1" selected="0">
            <x v="0"/>
          </reference>
          <reference field="2" count="1" selected="0">
            <x v="13"/>
          </reference>
          <reference field="3" count="1" selected="0">
            <x v="4"/>
          </reference>
        </references>
      </pivotArea>
    </chartFormat>
    <chartFormat chart="21" format="89">
      <pivotArea type="data" outline="0" fieldPosition="0">
        <references count="3">
          <reference field="4294967294" count="1" selected="0">
            <x v="0"/>
          </reference>
          <reference field="2" count="1" selected="0">
            <x v="14"/>
          </reference>
          <reference field="3" count="1" selected="0">
            <x v="4"/>
          </reference>
        </references>
      </pivotArea>
    </chartFormat>
    <chartFormat chart="21" format="90">
      <pivotArea type="data" outline="0" fieldPosition="0">
        <references count="3">
          <reference field="4294967294" count="1" selected="0">
            <x v="0"/>
          </reference>
          <reference field="2" count="1" selected="0">
            <x v="15"/>
          </reference>
          <reference field="3" count="1" selected="0">
            <x v="4"/>
          </reference>
        </references>
      </pivotArea>
    </chartFormat>
    <chartFormat chart="21" format="91">
      <pivotArea type="data" outline="0" fieldPosition="0">
        <references count="3">
          <reference field="4294967294" count="1" selected="0">
            <x v="0"/>
          </reference>
          <reference field="2" count="1" selected="0">
            <x v="16"/>
          </reference>
          <reference field="3" count="1" selected="0">
            <x v="4"/>
          </reference>
        </references>
      </pivotArea>
    </chartFormat>
    <chartFormat chart="21" format="9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</references>
      </pivotArea>
    </chartFormat>
    <chartFormat chart="21" format="9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</references>
      </pivotArea>
    </chartFormat>
    <chartFormat chart="21" format="9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</references>
      </pivotArea>
    </chartFormat>
    <chartFormat chart="21" format="9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5"/>
          </reference>
        </references>
      </pivotArea>
    </chartFormat>
    <chartFormat chart="21" format="9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5"/>
          </reference>
        </references>
      </pivotArea>
    </chartFormat>
    <chartFormat chart="21" format="97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</references>
      </pivotArea>
    </chartFormat>
    <chartFormat chart="21" format="98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5"/>
          </reference>
        </references>
      </pivotArea>
    </chartFormat>
    <chartFormat chart="21" format="99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3" count="1" selected="0">
            <x v="5"/>
          </reference>
        </references>
      </pivotArea>
    </chartFormat>
    <chartFormat chart="21" format="100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3" count="1" selected="0">
            <x v="5"/>
          </reference>
        </references>
      </pivotArea>
    </chartFormat>
    <chartFormat chart="21" format="10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3" count="1" selected="0">
            <x v="5"/>
          </reference>
        </references>
      </pivotArea>
    </chartFormat>
    <chartFormat chart="21" format="102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3" count="1" selected="0">
            <x v="5"/>
          </reference>
        </references>
      </pivotArea>
    </chartFormat>
    <chartFormat chart="21" format="103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3" count="1" selected="0">
            <x v="5"/>
          </reference>
        </references>
      </pivotArea>
    </chartFormat>
    <chartFormat chart="21" format="104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3" count="1" selected="0">
            <x v="5"/>
          </reference>
        </references>
      </pivotArea>
    </chartFormat>
    <chartFormat chart="21" format="105">
      <pivotArea type="data" outline="0" fieldPosition="0">
        <references count="3">
          <reference field="4294967294" count="1" selected="0">
            <x v="0"/>
          </reference>
          <reference field="2" count="1" selected="0">
            <x v="13"/>
          </reference>
          <reference field="3" count="1" selected="0">
            <x v="5"/>
          </reference>
        </references>
      </pivotArea>
    </chartFormat>
    <chartFormat chart="21" format="106">
      <pivotArea type="data" outline="0" fieldPosition="0">
        <references count="3">
          <reference field="4294967294" count="1" selected="0">
            <x v="0"/>
          </reference>
          <reference field="2" count="1" selected="0">
            <x v="14"/>
          </reference>
          <reference field="3" count="1" selected="0">
            <x v="5"/>
          </reference>
        </references>
      </pivotArea>
    </chartFormat>
    <chartFormat chart="21" format="107">
      <pivotArea type="data" outline="0" fieldPosition="0">
        <references count="3">
          <reference field="4294967294" count="1" selected="0">
            <x v="0"/>
          </reference>
          <reference field="2" count="1" selected="0">
            <x v="15"/>
          </reference>
          <reference field="3" count="1" selected="0">
            <x v="5"/>
          </reference>
        </references>
      </pivotArea>
    </chartFormat>
    <chartFormat chart="21" format="108">
      <pivotArea type="data" outline="0" fieldPosition="0">
        <references count="3">
          <reference field="4294967294" count="1" selected="0">
            <x v="0"/>
          </reference>
          <reference field="2" count="1" selected="0">
            <x v="16"/>
          </reference>
          <reference field="3" count="1" selected="0">
            <x v="5"/>
          </reference>
        </references>
      </pivotArea>
    </chartFormat>
    <chartFormat chart="21" format="10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6"/>
          </reference>
        </references>
      </pivotArea>
    </chartFormat>
    <chartFormat chart="21" format="11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6"/>
          </reference>
        </references>
      </pivotArea>
    </chartFormat>
    <chartFormat chart="21" format="11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6"/>
          </reference>
        </references>
      </pivotArea>
    </chartFormat>
    <chartFormat chart="21" format="11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6"/>
          </reference>
        </references>
      </pivotArea>
    </chartFormat>
    <chartFormat chart="21" format="11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6"/>
          </reference>
        </references>
      </pivotArea>
    </chartFormat>
    <chartFormat chart="21" format="114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6"/>
          </reference>
        </references>
      </pivotArea>
    </chartFormat>
    <chartFormat chart="21" format="115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6"/>
          </reference>
        </references>
      </pivotArea>
    </chartFormat>
    <chartFormat chart="21" format="116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3" count="1" selected="0">
            <x v="6"/>
          </reference>
        </references>
      </pivotArea>
    </chartFormat>
    <chartFormat chart="21" format="117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3" count="1" selected="0">
            <x v="6"/>
          </reference>
        </references>
      </pivotArea>
    </chartFormat>
    <chartFormat chart="21" format="118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3" count="1" selected="0">
            <x v="6"/>
          </reference>
        </references>
      </pivotArea>
    </chartFormat>
    <chartFormat chart="21" format="119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3" count="1" selected="0">
            <x v="6"/>
          </reference>
        </references>
      </pivotArea>
    </chartFormat>
    <chartFormat chart="21" format="120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3" count="1" selected="0">
            <x v="6"/>
          </reference>
        </references>
      </pivotArea>
    </chartFormat>
    <chartFormat chart="21" format="121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3" count="1" selected="0">
            <x v="6"/>
          </reference>
        </references>
      </pivotArea>
    </chartFormat>
    <chartFormat chart="21" format="122">
      <pivotArea type="data" outline="0" fieldPosition="0">
        <references count="3">
          <reference field="4294967294" count="1" selected="0">
            <x v="0"/>
          </reference>
          <reference field="2" count="1" selected="0">
            <x v="13"/>
          </reference>
          <reference field="3" count="1" selected="0">
            <x v="6"/>
          </reference>
        </references>
      </pivotArea>
    </chartFormat>
    <chartFormat chart="21" format="123">
      <pivotArea type="data" outline="0" fieldPosition="0">
        <references count="3">
          <reference field="4294967294" count="1" selected="0">
            <x v="0"/>
          </reference>
          <reference field="2" count="1" selected="0">
            <x v="14"/>
          </reference>
          <reference field="3" count="1" selected="0">
            <x v="6"/>
          </reference>
        </references>
      </pivotArea>
    </chartFormat>
    <chartFormat chart="21" format="124">
      <pivotArea type="data" outline="0" fieldPosition="0">
        <references count="3">
          <reference field="4294967294" count="1" selected="0">
            <x v="0"/>
          </reference>
          <reference field="2" count="1" selected="0">
            <x v="15"/>
          </reference>
          <reference field="3" count="1" selected="0">
            <x v="6"/>
          </reference>
        </references>
      </pivotArea>
    </chartFormat>
    <chartFormat chart="21" format="125">
      <pivotArea type="data" outline="0" fieldPosition="0">
        <references count="3">
          <reference field="4294967294" count="1" selected="0">
            <x v="0"/>
          </reference>
          <reference field="2" count="1" selected="0">
            <x v="16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512F4-BB3A-40BC-9C53-8FE0FF3BD730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1" firstHeaderRow="1" firstDataRow="1" firstDataCol="1"/>
  <pivotFields count="24">
    <pivotField showAll="0"/>
    <pivotField showAll="0"/>
    <pivotField axis="axisRow" showAll="0">
      <items count="18">
        <item x="15"/>
        <item x="14"/>
        <item x="7"/>
        <item x="2"/>
        <item x="8"/>
        <item x="4"/>
        <item x="12"/>
        <item x="10"/>
        <item x="5"/>
        <item x="6"/>
        <item x="16"/>
        <item x="13"/>
        <item x="0"/>
        <item x="3"/>
        <item x="11"/>
        <item x="9"/>
        <item x="1"/>
        <item t="default"/>
      </items>
    </pivotField>
    <pivotField showAll="0">
      <items count="8">
        <item x="4"/>
        <item x="5"/>
        <item x="3"/>
        <item x="1"/>
        <item x="6"/>
        <item x="2"/>
        <item x="0"/>
        <item t="default"/>
      </items>
    </pivotField>
    <pivotField showAll="0"/>
    <pivotField showAll="0"/>
    <pivotField numFmtId="164" showAll="0"/>
    <pivotField dataField="1" showAll="0"/>
    <pivotField showAll="0"/>
    <pivotField showAll="0"/>
    <pivotField showAll="0"/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4"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Attendance Day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45137-1E49-49A7-A738-EDADF35CE477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1" firstHeaderRow="1" firstDataRow="1" firstDataCol="1"/>
  <pivotFields count="24">
    <pivotField showAll="0"/>
    <pivotField showAll="0"/>
    <pivotField showAll="0"/>
    <pivotField axis="axisRow" showAll="0">
      <items count="8">
        <item x="4"/>
        <item x="5"/>
        <item x="3"/>
        <item x="1"/>
        <item x="6"/>
        <item x="2"/>
        <item x="0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4" showAll="0"/>
    <pivotField showAll="0"/>
    <pivotField numFmtId="4" showAll="0"/>
    <pivotField numFmtId="4" showAll="0"/>
    <pivotField dataField="1" numFmtId="4" showAll="0"/>
    <pivotField numFmtId="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Sal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F81A7-C2E5-472E-A1D6-46020896D373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6" firstHeaderRow="1" firstDataRow="1" firstDataCol="1"/>
  <pivotFields count="24"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164" showAll="0"/>
    <pivotField showAll="0"/>
    <pivotField showAll="0"/>
    <pivotField showAll="0"/>
    <pivotField showAll="0"/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4" showAll="0"/>
    <pivotField showAll="0"/>
    <pivotField numFmtId="4" showAll="0"/>
    <pivotField numFmtId="4" showAll="0"/>
    <pivotField dataField="1" numFmtId="4" showAll="0"/>
    <pivotField numFmtId="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Total Sal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B656B-F9CF-41C3-A4B4-A9D131A8C587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1" firstHeaderRow="1" firstDataRow="1" firstDataCol="1"/>
  <pivotFields count="24">
    <pivotField showAll="0"/>
    <pivotField showAll="0"/>
    <pivotField dataField="1" showAll="0"/>
    <pivotField axis="axisRow" showAll="0">
      <items count="8">
        <item x="4"/>
        <item x="5"/>
        <item x="3"/>
        <item x="1"/>
        <item x="6"/>
        <item x="2"/>
        <item x="0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4"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mployee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E9CA1-FC21-40B2-95AD-8C86129D628A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13" firstHeaderRow="1" firstDataRow="3" firstDataCol="1"/>
  <pivotFields count="24">
    <pivotField showAll="0"/>
    <pivotField showAll="0"/>
    <pivotField showAll="0"/>
    <pivotField axis="axisRow" showAll="0">
      <items count="8">
        <item x="4"/>
        <item x="5"/>
        <item x="3"/>
        <item x="1"/>
        <item x="6"/>
        <item x="2"/>
        <item x="0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Col"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4" showAll="0"/>
    <pivotField showAll="0"/>
    <pivotField numFmtId="4" showAll="0"/>
    <pivotField numFmtId="4" showAll="0"/>
    <pivotField dataField="1" numFmtId="4" showAll="0"/>
    <pivotField numFmtId="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23"/>
    <field x="12"/>
  </colFields>
  <colItems count="4">
    <i>
      <x v="1"/>
      <x v="1"/>
    </i>
    <i r="1">
      <x v="2"/>
    </i>
    <i t="default">
      <x v="1"/>
    </i>
    <i t="grand">
      <x/>
    </i>
  </colItems>
  <dataFields count="1">
    <dataField name="Sum of Total Sales" fld="18" baseField="0" baseItem="0"/>
  </dataFields>
  <formats count="5">
    <format dxfId="7">
      <pivotArea outline="0" collapsedLevelsAreSubtotals="1" fieldPosition="0">
        <references count="1">
          <reference field="23" count="1" selected="0" defaultSubtotal="1">
            <x v="1"/>
          </reference>
        </references>
      </pivotArea>
    </format>
    <format dxfId="6">
      <pivotArea dataOnly="0" labelOnly="1" fieldPosition="0">
        <references count="1">
          <reference field="23" count="1" defaultSubtotal="1">
            <x v="1"/>
          </reference>
        </references>
      </pivotArea>
    </format>
    <format dxfId="5">
      <pivotArea outline="0" collapsedLevelsAreSubtotals="1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98BCE-393B-48B0-BDF9-2A00F32DF2EE}" name="PivotTable1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3:G9" firstHeaderRow="1" firstDataRow="1" firstDataCol="1"/>
  <pivotFields count="4"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dataField="1" numFmtId="165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3" baseField="0" baseItem="0"/>
  </dataFields>
  <formats count="3">
    <format dxfId="2">
      <pivotArea outline="0" collapsedLevelsAreSubtotals="1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097F4-F996-4352-87D9-6EFDEA6265A6}" name="PivotTable1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4" firstHeaderRow="1" firstDataRow="1" firstDataCol="1"/>
  <pivotFields count="4">
    <pivotField showAll="0"/>
    <pivotField axis="axisRow" showAll="0">
      <items count="11">
        <item x="0"/>
        <item x="5"/>
        <item x="8"/>
        <item x="1"/>
        <item x="7"/>
        <item x="4"/>
        <item x="3"/>
        <item x="2"/>
        <item x="9"/>
        <item x="6"/>
        <item t="default"/>
      </items>
    </pivotField>
    <pivotField showAll="0"/>
    <pivotField dataField="1" numFmtId="165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Max of Salary" fld="3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DE36D-A004-40CE-8E36-2624A36A7C88}" name="PivotTable1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4" firstHeaderRow="1" firstDataRow="1" firstDataCol="1"/>
  <pivotFields count="4">
    <pivotField showAll="0"/>
    <pivotField axis="axisRow" showAll="0">
      <items count="11">
        <item x="0"/>
        <item x="5"/>
        <item x="8"/>
        <item x="1"/>
        <item x="7"/>
        <item x="4"/>
        <item x="3"/>
        <item x="2"/>
        <item x="9"/>
        <item x="6"/>
        <item t="default"/>
      </items>
    </pivotField>
    <pivotField showAll="0">
      <items count="6">
        <item x="3"/>
        <item x="1"/>
        <item x="4"/>
        <item x="2"/>
        <item x="0"/>
        <item t="default"/>
      </items>
    </pivotField>
    <pivotField dataField="1" numFmtId="165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Min of Salary" fld="3" subtotal="min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zoomScaleNormal="100" workbookViewId="0">
      <pane ySplit="1" topLeftCell="A2" activePane="bottomLeft" state="frozen"/>
      <selection pane="bottomLeft" activeCell="C20" sqref="A1:W51"/>
    </sheetView>
  </sheetViews>
  <sheetFormatPr defaultRowHeight="15" x14ac:dyDescent="0.25"/>
  <cols>
    <col min="1" max="2" width="11" customWidth="1"/>
    <col min="3" max="3" width="15" customWidth="1"/>
    <col min="4" max="4" width="12" customWidth="1"/>
    <col min="5" max="6" width="11" customWidth="1"/>
    <col min="7" max="7" width="21" customWidth="1"/>
    <col min="8" max="8" width="17" customWidth="1"/>
    <col min="9" max="9" width="12" customWidth="1"/>
    <col min="10" max="10" width="15" customWidth="1"/>
    <col min="11" max="11" width="11" customWidth="1"/>
    <col min="12" max="12" width="12" customWidth="1"/>
    <col min="13" max="13" width="21" customWidth="1"/>
    <col min="14" max="14" width="11" customWidth="1"/>
    <col min="15" max="16" width="12" customWidth="1"/>
    <col min="17" max="17" width="13" customWidth="1"/>
    <col min="18" max="18" width="17" customWidth="1"/>
    <col min="19" max="19" width="13" customWidth="1"/>
    <col min="20" max="20" width="19" customWidth="1"/>
    <col min="21" max="21" width="16" customWidth="1"/>
    <col min="22" max="22" width="15" customWidth="1"/>
    <col min="23" max="23" width="1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3" t="s">
        <v>23</v>
      </c>
      <c r="B2" s="3">
        <v>101</v>
      </c>
      <c r="C2" s="3" t="s">
        <v>24</v>
      </c>
      <c r="D2" s="3" t="s">
        <v>25</v>
      </c>
      <c r="E2" s="3" t="s">
        <v>26</v>
      </c>
      <c r="F2" s="3" t="s">
        <v>27</v>
      </c>
      <c r="G2" s="4">
        <v>45662</v>
      </c>
      <c r="H2" s="3">
        <v>25</v>
      </c>
      <c r="I2" s="3" t="s">
        <v>28</v>
      </c>
      <c r="J2" s="3" t="s">
        <v>29</v>
      </c>
      <c r="K2" s="3" t="s">
        <v>30</v>
      </c>
      <c r="L2" s="3" t="s">
        <v>31</v>
      </c>
      <c r="M2" s="4">
        <v>46027</v>
      </c>
      <c r="N2" s="3">
        <v>1</v>
      </c>
      <c r="O2" s="5">
        <v>69999</v>
      </c>
      <c r="P2" s="3">
        <v>0</v>
      </c>
      <c r="Q2" s="5">
        <v>69999</v>
      </c>
      <c r="R2" s="5">
        <v>0</v>
      </c>
      <c r="S2" s="5">
        <v>69999</v>
      </c>
      <c r="T2" s="5">
        <v>6999.9000000000005</v>
      </c>
      <c r="U2" s="3" t="s">
        <v>32</v>
      </c>
      <c r="V2" s="3" t="s">
        <v>33</v>
      </c>
      <c r="W2" s="3" t="s">
        <v>34</v>
      </c>
    </row>
    <row r="3" spans="1:23" x14ac:dyDescent="0.25">
      <c r="A3" s="3" t="s">
        <v>35</v>
      </c>
      <c r="B3" s="3">
        <v>102</v>
      </c>
      <c r="C3" s="3" t="s">
        <v>36</v>
      </c>
      <c r="D3" s="3" t="s">
        <v>25</v>
      </c>
      <c r="E3" s="3" t="s">
        <v>37</v>
      </c>
      <c r="F3" s="3" t="s">
        <v>38</v>
      </c>
      <c r="G3" s="4">
        <v>45665</v>
      </c>
      <c r="H3" s="3">
        <v>24</v>
      </c>
      <c r="I3" s="3" t="s">
        <v>39</v>
      </c>
      <c r="J3" s="3" t="s">
        <v>40</v>
      </c>
      <c r="K3" s="3" t="s">
        <v>41</v>
      </c>
      <c r="L3" s="3" t="s">
        <v>31</v>
      </c>
      <c r="M3" s="4">
        <v>46029</v>
      </c>
      <c r="N3" s="3">
        <v>2</v>
      </c>
      <c r="O3" s="5">
        <v>30999</v>
      </c>
      <c r="P3" s="3">
        <v>5</v>
      </c>
      <c r="Q3" s="5">
        <v>61998</v>
      </c>
      <c r="R3" s="5">
        <v>3099.9</v>
      </c>
      <c r="S3" s="5">
        <v>58898.1</v>
      </c>
      <c r="T3" s="5">
        <v>11779.62</v>
      </c>
      <c r="U3" s="3" t="s">
        <v>42</v>
      </c>
      <c r="V3" s="3" t="s">
        <v>43</v>
      </c>
      <c r="W3" s="3" t="s">
        <v>44</v>
      </c>
    </row>
    <row r="4" spans="1:23" x14ac:dyDescent="0.25">
      <c r="A4" s="3" t="s">
        <v>45</v>
      </c>
      <c r="B4" s="3">
        <v>103</v>
      </c>
      <c r="C4" s="3" t="s">
        <v>46</v>
      </c>
      <c r="D4" s="3" t="s">
        <v>47</v>
      </c>
      <c r="E4" s="3" t="s">
        <v>26</v>
      </c>
      <c r="F4" s="3" t="s">
        <v>38</v>
      </c>
      <c r="G4" s="4">
        <v>45669</v>
      </c>
      <c r="H4" s="3">
        <v>23</v>
      </c>
      <c r="I4" s="3" t="s">
        <v>48</v>
      </c>
      <c r="J4" s="3" t="s">
        <v>49</v>
      </c>
      <c r="K4" s="3" t="s">
        <v>50</v>
      </c>
      <c r="L4" s="3" t="s">
        <v>31</v>
      </c>
      <c r="M4" s="4">
        <v>46031</v>
      </c>
      <c r="N4" s="3">
        <v>1</v>
      </c>
      <c r="O4" s="5">
        <v>16999</v>
      </c>
      <c r="P4" s="3">
        <v>10</v>
      </c>
      <c r="Q4" s="5">
        <v>16999</v>
      </c>
      <c r="R4" s="5">
        <v>1699.9</v>
      </c>
      <c r="S4" s="5">
        <v>15299.1</v>
      </c>
      <c r="T4" s="5">
        <v>3824.7750000000001</v>
      </c>
      <c r="U4" s="3" t="s">
        <v>51</v>
      </c>
      <c r="V4" s="3" t="s">
        <v>52</v>
      </c>
      <c r="W4" s="3" t="s">
        <v>53</v>
      </c>
    </row>
    <row r="5" spans="1:23" x14ac:dyDescent="0.25">
      <c r="A5" s="3" t="s">
        <v>54</v>
      </c>
      <c r="B5" s="3">
        <v>104</v>
      </c>
      <c r="C5" s="3" t="s">
        <v>55</v>
      </c>
      <c r="D5" s="3" t="s">
        <v>56</v>
      </c>
      <c r="E5" s="3" t="s">
        <v>26</v>
      </c>
      <c r="F5" s="3" t="s">
        <v>38</v>
      </c>
      <c r="G5" s="4">
        <v>45672</v>
      </c>
      <c r="H5" s="3">
        <v>26</v>
      </c>
      <c r="I5" s="3" t="s">
        <v>57</v>
      </c>
      <c r="J5" s="3" t="s">
        <v>58</v>
      </c>
      <c r="K5" s="3" t="s">
        <v>59</v>
      </c>
      <c r="L5" s="3" t="s">
        <v>31</v>
      </c>
      <c r="M5" s="4">
        <v>46033</v>
      </c>
      <c r="N5" s="3">
        <v>3</v>
      </c>
      <c r="O5" s="5">
        <v>27999</v>
      </c>
      <c r="P5" s="3">
        <v>5</v>
      </c>
      <c r="Q5" s="5">
        <v>83997</v>
      </c>
      <c r="R5" s="5">
        <v>4199.8500000000004</v>
      </c>
      <c r="S5" s="5">
        <v>79797.149999999994</v>
      </c>
      <c r="T5" s="5">
        <v>23939.145</v>
      </c>
      <c r="U5" s="3" t="s">
        <v>60</v>
      </c>
      <c r="V5" s="3" t="s">
        <v>33</v>
      </c>
      <c r="W5" s="3" t="s">
        <v>61</v>
      </c>
    </row>
    <row r="6" spans="1:23" x14ac:dyDescent="0.25">
      <c r="A6" s="3" t="s">
        <v>62</v>
      </c>
      <c r="B6" s="3">
        <v>105</v>
      </c>
      <c r="C6" s="3" t="s">
        <v>63</v>
      </c>
      <c r="D6" s="3" t="s">
        <v>56</v>
      </c>
      <c r="E6" s="3" t="s">
        <v>64</v>
      </c>
      <c r="F6" s="3" t="s">
        <v>38</v>
      </c>
      <c r="G6" s="4">
        <v>45677</v>
      </c>
      <c r="H6" s="3">
        <v>22</v>
      </c>
      <c r="I6" s="3" t="s">
        <v>65</v>
      </c>
      <c r="J6" s="3" t="s">
        <v>66</v>
      </c>
      <c r="K6" s="3" t="s">
        <v>41</v>
      </c>
      <c r="L6" s="3" t="s">
        <v>67</v>
      </c>
      <c r="M6" s="4">
        <v>46035</v>
      </c>
      <c r="N6" s="3">
        <v>2</v>
      </c>
      <c r="O6" s="5">
        <v>8999</v>
      </c>
      <c r="P6" s="3">
        <v>8</v>
      </c>
      <c r="Q6" s="5">
        <v>17998</v>
      </c>
      <c r="R6" s="5">
        <v>1439.84</v>
      </c>
      <c r="S6" s="5">
        <v>16558.16</v>
      </c>
      <c r="T6" s="5">
        <v>1655.816</v>
      </c>
      <c r="U6" s="3" t="s">
        <v>68</v>
      </c>
      <c r="V6" s="3" t="s">
        <v>43</v>
      </c>
      <c r="W6" s="3" t="s">
        <v>69</v>
      </c>
    </row>
    <row r="7" spans="1:23" x14ac:dyDescent="0.25">
      <c r="A7" s="3" t="s">
        <v>70</v>
      </c>
      <c r="B7" s="3">
        <v>106</v>
      </c>
      <c r="C7" s="3" t="s">
        <v>71</v>
      </c>
      <c r="D7" s="3" t="s">
        <v>56</v>
      </c>
      <c r="E7" s="3" t="s">
        <v>26</v>
      </c>
      <c r="F7" s="3" t="s">
        <v>38</v>
      </c>
      <c r="G7" s="4">
        <v>45679</v>
      </c>
      <c r="H7" s="3">
        <v>24</v>
      </c>
      <c r="I7" s="3" t="s">
        <v>28</v>
      </c>
      <c r="J7" s="3" t="s">
        <v>29</v>
      </c>
      <c r="K7" s="3" t="s">
        <v>30</v>
      </c>
      <c r="L7" s="3" t="s">
        <v>31</v>
      </c>
      <c r="M7" s="4">
        <v>46037</v>
      </c>
      <c r="N7" s="3">
        <v>4</v>
      </c>
      <c r="O7" s="5">
        <v>69999</v>
      </c>
      <c r="P7" s="3">
        <v>12</v>
      </c>
      <c r="Q7" s="5">
        <v>279996</v>
      </c>
      <c r="R7" s="5">
        <v>33599.519999999997</v>
      </c>
      <c r="S7" s="5">
        <v>246396.48</v>
      </c>
      <c r="T7" s="5">
        <v>49279.296000000002</v>
      </c>
      <c r="U7" s="3" t="s">
        <v>32</v>
      </c>
      <c r="V7" s="3" t="s">
        <v>52</v>
      </c>
      <c r="W7" s="3" t="s">
        <v>72</v>
      </c>
    </row>
    <row r="8" spans="1:23" x14ac:dyDescent="0.25">
      <c r="A8" s="3" t="s">
        <v>73</v>
      </c>
      <c r="B8" s="3">
        <v>107</v>
      </c>
      <c r="C8" s="3" t="s">
        <v>74</v>
      </c>
      <c r="D8" s="3" t="s">
        <v>25</v>
      </c>
      <c r="E8" s="3" t="s">
        <v>26</v>
      </c>
      <c r="F8" s="3" t="s">
        <v>27</v>
      </c>
      <c r="G8" s="4">
        <v>45682</v>
      </c>
      <c r="H8" s="3">
        <v>27</v>
      </c>
      <c r="I8" s="3" t="s">
        <v>39</v>
      </c>
      <c r="J8" s="3" t="s">
        <v>40</v>
      </c>
      <c r="K8" s="3" t="s">
        <v>41</v>
      </c>
      <c r="L8" s="3" t="s">
        <v>31</v>
      </c>
      <c r="M8" s="4">
        <v>46039</v>
      </c>
      <c r="N8" s="3">
        <v>1</v>
      </c>
      <c r="O8" s="5">
        <v>30999</v>
      </c>
      <c r="P8" s="3">
        <v>0</v>
      </c>
      <c r="Q8" s="5">
        <v>30999</v>
      </c>
      <c r="R8" s="5">
        <v>0</v>
      </c>
      <c r="S8" s="5">
        <v>30999</v>
      </c>
      <c r="T8" s="5">
        <v>7749.75</v>
      </c>
      <c r="U8" s="3" t="s">
        <v>42</v>
      </c>
      <c r="V8" s="3" t="s">
        <v>33</v>
      </c>
      <c r="W8" s="3" t="s">
        <v>34</v>
      </c>
    </row>
    <row r="9" spans="1:23" x14ac:dyDescent="0.25">
      <c r="A9" s="3" t="s">
        <v>75</v>
      </c>
      <c r="B9" s="3">
        <v>108</v>
      </c>
      <c r="C9" s="3" t="s">
        <v>76</v>
      </c>
      <c r="D9" s="3" t="s">
        <v>47</v>
      </c>
      <c r="E9" s="3" t="s">
        <v>37</v>
      </c>
      <c r="F9" s="3" t="s">
        <v>27</v>
      </c>
      <c r="G9" s="4">
        <v>45685</v>
      </c>
      <c r="H9" s="3">
        <v>21</v>
      </c>
      <c r="I9" s="3" t="s">
        <v>48</v>
      </c>
      <c r="J9" s="3" t="s">
        <v>49</v>
      </c>
      <c r="K9" s="3" t="s">
        <v>50</v>
      </c>
      <c r="L9" s="3" t="s">
        <v>31</v>
      </c>
      <c r="M9" s="4">
        <v>46041</v>
      </c>
      <c r="N9" s="3">
        <v>2</v>
      </c>
      <c r="O9" s="5">
        <v>16999</v>
      </c>
      <c r="P9" s="3">
        <v>7</v>
      </c>
      <c r="Q9" s="5">
        <v>33998</v>
      </c>
      <c r="R9" s="5">
        <v>2379.86</v>
      </c>
      <c r="S9" s="5">
        <v>31618.14</v>
      </c>
      <c r="T9" s="5">
        <v>9485.4419999999991</v>
      </c>
      <c r="U9" s="3" t="s">
        <v>51</v>
      </c>
      <c r="V9" s="3" t="s">
        <v>43</v>
      </c>
      <c r="W9" s="3" t="s">
        <v>44</v>
      </c>
    </row>
    <row r="10" spans="1:23" x14ac:dyDescent="0.25">
      <c r="A10" s="3" t="s">
        <v>77</v>
      </c>
      <c r="B10" s="3">
        <v>109</v>
      </c>
      <c r="C10" s="3" t="s">
        <v>78</v>
      </c>
      <c r="D10" s="3" t="s">
        <v>79</v>
      </c>
      <c r="E10" s="3" t="s">
        <v>64</v>
      </c>
      <c r="F10" s="3" t="s">
        <v>27</v>
      </c>
      <c r="G10" s="4">
        <v>45690</v>
      </c>
      <c r="H10" s="3">
        <v>26</v>
      </c>
      <c r="I10" s="3" t="s">
        <v>57</v>
      </c>
      <c r="J10" s="3" t="s">
        <v>58</v>
      </c>
      <c r="K10" s="3" t="s">
        <v>59</v>
      </c>
      <c r="L10" s="3" t="s">
        <v>31</v>
      </c>
      <c r="M10" s="4">
        <v>46043</v>
      </c>
      <c r="N10" s="3">
        <v>5</v>
      </c>
      <c r="O10" s="5">
        <v>27999</v>
      </c>
      <c r="P10" s="3">
        <v>10</v>
      </c>
      <c r="Q10" s="5">
        <v>139995</v>
      </c>
      <c r="R10" s="5">
        <v>13999.5</v>
      </c>
      <c r="S10" s="5">
        <v>125995.5</v>
      </c>
      <c r="T10" s="5">
        <v>12599.55</v>
      </c>
      <c r="U10" s="3" t="s">
        <v>60</v>
      </c>
      <c r="V10" s="3" t="s">
        <v>52</v>
      </c>
      <c r="W10" s="3" t="s">
        <v>53</v>
      </c>
    </row>
    <row r="11" spans="1:23" x14ac:dyDescent="0.25">
      <c r="A11" s="3" t="s">
        <v>80</v>
      </c>
      <c r="B11" s="3">
        <v>110</v>
      </c>
      <c r="C11" s="3" t="s">
        <v>81</v>
      </c>
      <c r="D11" s="3" t="s">
        <v>82</v>
      </c>
      <c r="E11" s="3" t="s">
        <v>26</v>
      </c>
      <c r="F11" s="3" t="s">
        <v>38</v>
      </c>
      <c r="G11" s="4">
        <v>45693</v>
      </c>
      <c r="H11" s="3">
        <v>25</v>
      </c>
      <c r="I11" s="3" t="s">
        <v>65</v>
      </c>
      <c r="J11" s="3" t="s">
        <v>66</v>
      </c>
      <c r="K11" s="3" t="s">
        <v>41</v>
      </c>
      <c r="L11" s="3" t="s">
        <v>67</v>
      </c>
      <c r="M11" s="4">
        <v>46045</v>
      </c>
      <c r="N11" s="3">
        <v>1</v>
      </c>
      <c r="O11" s="5">
        <v>8999</v>
      </c>
      <c r="P11" s="3">
        <v>5</v>
      </c>
      <c r="Q11" s="5">
        <v>8999</v>
      </c>
      <c r="R11" s="5">
        <v>449.95</v>
      </c>
      <c r="S11" s="5">
        <v>8549.0499999999993</v>
      </c>
      <c r="T11" s="5">
        <v>1709.81</v>
      </c>
      <c r="U11" s="3" t="s">
        <v>68</v>
      </c>
      <c r="V11" s="3" t="s">
        <v>33</v>
      </c>
      <c r="W11" s="3" t="s">
        <v>61</v>
      </c>
    </row>
    <row r="12" spans="1:23" x14ac:dyDescent="0.25">
      <c r="A12" s="3" t="s">
        <v>83</v>
      </c>
      <c r="B12" s="3">
        <v>111</v>
      </c>
      <c r="C12" s="3" t="s">
        <v>84</v>
      </c>
      <c r="D12" s="3" t="s">
        <v>79</v>
      </c>
      <c r="E12" s="3" t="s">
        <v>37</v>
      </c>
      <c r="F12" s="3" t="s">
        <v>38</v>
      </c>
      <c r="G12" s="4">
        <v>45696</v>
      </c>
      <c r="H12" s="3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4">
        <v>46047</v>
      </c>
      <c r="N12" s="3">
        <v>1</v>
      </c>
      <c r="O12" s="5">
        <v>69999</v>
      </c>
      <c r="P12" s="3">
        <v>0</v>
      </c>
      <c r="Q12" s="5">
        <v>69999</v>
      </c>
      <c r="R12" s="5">
        <v>0</v>
      </c>
      <c r="S12" s="5">
        <v>69999</v>
      </c>
      <c r="T12" s="5">
        <v>17499.75</v>
      </c>
      <c r="U12" s="3" t="s">
        <v>32</v>
      </c>
      <c r="V12" s="3" t="s">
        <v>43</v>
      </c>
      <c r="W12" s="3" t="s">
        <v>69</v>
      </c>
    </row>
    <row r="13" spans="1:23" x14ac:dyDescent="0.25">
      <c r="A13" s="3" t="s">
        <v>85</v>
      </c>
      <c r="B13" s="3">
        <v>112</v>
      </c>
      <c r="C13" s="3" t="s">
        <v>86</v>
      </c>
      <c r="D13" s="3" t="s">
        <v>87</v>
      </c>
      <c r="E13" s="3" t="s">
        <v>88</v>
      </c>
      <c r="F13" s="3" t="s">
        <v>38</v>
      </c>
      <c r="G13" s="4">
        <v>45700</v>
      </c>
      <c r="H13" s="3">
        <v>28</v>
      </c>
      <c r="I13" s="3" t="s">
        <v>39</v>
      </c>
      <c r="J13" s="3" t="s">
        <v>40</v>
      </c>
      <c r="K13" s="3" t="s">
        <v>41</v>
      </c>
      <c r="L13" s="3" t="s">
        <v>31</v>
      </c>
      <c r="M13" s="4">
        <v>46049</v>
      </c>
      <c r="N13" s="3">
        <v>2</v>
      </c>
      <c r="O13" s="5">
        <v>30999</v>
      </c>
      <c r="P13" s="3">
        <v>5</v>
      </c>
      <c r="Q13" s="5">
        <v>61998</v>
      </c>
      <c r="R13" s="5">
        <v>3099.9</v>
      </c>
      <c r="S13" s="5">
        <v>58898.1</v>
      </c>
      <c r="T13" s="5">
        <v>17669.43</v>
      </c>
      <c r="U13" s="3" t="s">
        <v>42</v>
      </c>
      <c r="V13" s="3" t="s">
        <v>52</v>
      </c>
      <c r="W13" s="3" t="s">
        <v>72</v>
      </c>
    </row>
    <row r="14" spans="1:23" x14ac:dyDescent="0.25">
      <c r="A14" s="3" t="s">
        <v>89</v>
      </c>
      <c r="B14" s="3">
        <v>113</v>
      </c>
      <c r="C14" s="3" t="s">
        <v>90</v>
      </c>
      <c r="D14" s="3" t="s">
        <v>91</v>
      </c>
      <c r="E14" s="3" t="s">
        <v>26</v>
      </c>
      <c r="F14" s="3" t="s">
        <v>38</v>
      </c>
      <c r="G14" s="4">
        <v>45703</v>
      </c>
      <c r="H14" s="3">
        <v>20</v>
      </c>
      <c r="I14" s="3" t="s">
        <v>48</v>
      </c>
      <c r="J14" s="3" t="s">
        <v>49</v>
      </c>
      <c r="K14" s="3" t="s">
        <v>50</v>
      </c>
      <c r="L14" s="3" t="s">
        <v>31</v>
      </c>
      <c r="M14" s="4">
        <v>46051</v>
      </c>
      <c r="N14" s="3">
        <v>1</v>
      </c>
      <c r="O14" s="5">
        <v>16999</v>
      </c>
      <c r="P14" s="3">
        <v>10</v>
      </c>
      <c r="Q14" s="5">
        <v>16999</v>
      </c>
      <c r="R14" s="5">
        <v>1699.9</v>
      </c>
      <c r="S14" s="5">
        <v>15299.1</v>
      </c>
      <c r="T14" s="5">
        <v>1529.91</v>
      </c>
      <c r="U14" s="3" t="s">
        <v>51</v>
      </c>
      <c r="V14" s="3" t="s">
        <v>33</v>
      </c>
      <c r="W14" s="3" t="s">
        <v>34</v>
      </c>
    </row>
    <row r="15" spans="1:23" x14ac:dyDescent="0.25">
      <c r="A15" s="3" t="s">
        <v>92</v>
      </c>
      <c r="B15" s="3">
        <v>114</v>
      </c>
      <c r="C15" s="3" t="s">
        <v>93</v>
      </c>
      <c r="D15" s="3" t="s">
        <v>91</v>
      </c>
      <c r="E15" s="3" t="s">
        <v>26</v>
      </c>
      <c r="F15" s="3" t="s">
        <v>38</v>
      </c>
      <c r="G15" s="4">
        <v>45706</v>
      </c>
      <c r="H15" s="3">
        <v>22</v>
      </c>
      <c r="I15" s="3" t="s">
        <v>57</v>
      </c>
      <c r="J15" s="3" t="s">
        <v>58</v>
      </c>
      <c r="K15" s="3" t="s">
        <v>59</v>
      </c>
      <c r="L15" s="3" t="s">
        <v>31</v>
      </c>
      <c r="M15" s="4">
        <v>46053</v>
      </c>
      <c r="N15" s="3">
        <v>3</v>
      </c>
      <c r="O15" s="5">
        <v>27999</v>
      </c>
      <c r="P15" s="3">
        <v>5</v>
      </c>
      <c r="Q15" s="5">
        <v>83997</v>
      </c>
      <c r="R15" s="5">
        <v>4199.8500000000004</v>
      </c>
      <c r="S15" s="5">
        <v>79797.149999999994</v>
      </c>
      <c r="T15" s="5">
        <v>15959.43</v>
      </c>
      <c r="U15" s="3" t="s">
        <v>60</v>
      </c>
      <c r="V15" s="3" t="s">
        <v>43</v>
      </c>
      <c r="W15" s="3" t="s">
        <v>44</v>
      </c>
    </row>
    <row r="16" spans="1:23" x14ac:dyDescent="0.25">
      <c r="A16" s="3" t="s">
        <v>94</v>
      </c>
      <c r="B16" s="3">
        <v>115</v>
      </c>
      <c r="C16" s="3" t="s">
        <v>95</v>
      </c>
      <c r="D16" s="3" t="s">
        <v>82</v>
      </c>
      <c r="E16" s="3" t="s">
        <v>37</v>
      </c>
      <c r="F16" s="3" t="s">
        <v>27</v>
      </c>
      <c r="G16" s="4">
        <v>45708</v>
      </c>
      <c r="H16" s="3">
        <v>24</v>
      </c>
      <c r="I16" s="3" t="s">
        <v>65</v>
      </c>
      <c r="J16" s="3" t="s">
        <v>66</v>
      </c>
      <c r="K16" s="3" t="s">
        <v>41</v>
      </c>
      <c r="L16" s="3" t="s">
        <v>67</v>
      </c>
      <c r="M16" s="4">
        <v>46055</v>
      </c>
      <c r="N16" s="3">
        <v>2</v>
      </c>
      <c r="O16" s="5">
        <v>8999</v>
      </c>
      <c r="P16" s="3">
        <v>8</v>
      </c>
      <c r="Q16" s="5">
        <v>17998</v>
      </c>
      <c r="R16" s="5">
        <v>1439.84</v>
      </c>
      <c r="S16" s="5">
        <v>16558.16</v>
      </c>
      <c r="T16" s="5">
        <v>4139.54</v>
      </c>
      <c r="U16" s="3" t="s">
        <v>68</v>
      </c>
      <c r="V16" s="3" t="s">
        <v>52</v>
      </c>
      <c r="W16" s="3" t="s">
        <v>53</v>
      </c>
    </row>
    <row r="17" spans="1:23" x14ac:dyDescent="0.25">
      <c r="A17" s="3" t="s">
        <v>96</v>
      </c>
      <c r="B17" s="3">
        <v>116</v>
      </c>
      <c r="C17" s="3" t="s">
        <v>97</v>
      </c>
      <c r="D17" s="3" t="s">
        <v>82</v>
      </c>
      <c r="E17" s="3" t="s">
        <v>64</v>
      </c>
      <c r="F17" s="3" t="s">
        <v>27</v>
      </c>
      <c r="G17" s="4">
        <v>45710</v>
      </c>
      <c r="H17" s="3">
        <v>23</v>
      </c>
      <c r="I17" s="3" t="s">
        <v>28</v>
      </c>
      <c r="J17" s="3" t="s">
        <v>29</v>
      </c>
      <c r="K17" s="3" t="s">
        <v>30</v>
      </c>
      <c r="L17" s="3" t="s">
        <v>31</v>
      </c>
      <c r="M17" s="4">
        <v>46057</v>
      </c>
      <c r="N17" s="3">
        <v>4</v>
      </c>
      <c r="O17" s="5">
        <v>69999</v>
      </c>
      <c r="P17" s="3">
        <v>12</v>
      </c>
      <c r="Q17" s="5">
        <v>279996</v>
      </c>
      <c r="R17" s="5">
        <v>33599.519999999997</v>
      </c>
      <c r="S17" s="5">
        <v>246396.48</v>
      </c>
      <c r="T17" s="5">
        <v>73918.944000000003</v>
      </c>
      <c r="U17" s="3" t="s">
        <v>32</v>
      </c>
      <c r="V17" s="3" t="s">
        <v>33</v>
      </c>
      <c r="W17" s="3" t="s">
        <v>61</v>
      </c>
    </row>
    <row r="18" spans="1:23" x14ac:dyDescent="0.25">
      <c r="A18" s="3" t="s">
        <v>98</v>
      </c>
      <c r="B18" s="3">
        <v>117</v>
      </c>
      <c r="C18" s="3" t="s">
        <v>99</v>
      </c>
      <c r="D18" s="3" t="s">
        <v>47</v>
      </c>
      <c r="E18" s="3" t="s">
        <v>26</v>
      </c>
      <c r="F18" s="3" t="s">
        <v>38</v>
      </c>
      <c r="G18" s="4">
        <v>45713</v>
      </c>
      <c r="H18" s="3">
        <v>26</v>
      </c>
      <c r="I18" s="3" t="s">
        <v>39</v>
      </c>
      <c r="J18" s="3" t="s">
        <v>40</v>
      </c>
      <c r="K18" s="3" t="s">
        <v>41</v>
      </c>
      <c r="L18" s="3" t="s">
        <v>31</v>
      </c>
      <c r="M18" s="4">
        <v>46059</v>
      </c>
      <c r="N18" s="3">
        <v>1</v>
      </c>
      <c r="O18" s="5">
        <v>30999</v>
      </c>
      <c r="P18" s="3">
        <v>0</v>
      </c>
      <c r="Q18" s="5">
        <v>30999</v>
      </c>
      <c r="R18" s="5">
        <v>0</v>
      </c>
      <c r="S18" s="5">
        <v>30999</v>
      </c>
      <c r="T18" s="5">
        <v>3099.9</v>
      </c>
      <c r="U18" s="3" t="s">
        <v>42</v>
      </c>
      <c r="V18" s="3" t="s">
        <v>43</v>
      </c>
      <c r="W18" s="3" t="s">
        <v>69</v>
      </c>
    </row>
    <row r="19" spans="1:23" x14ac:dyDescent="0.25">
      <c r="A19" s="3" t="s">
        <v>100</v>
      </c>
      <c r="B19" s="3">
        <v>101</v>
      </c>
      <c r="C19" s="3" t="s">
        <v>24</v>
      </c>
      <c r="D19" s="3" t="s">
        <v>25</v>
      </c>
      <c r="E19" s="3" t="s">
        <v>26</v>
      </c>
      <c r="F19" s="3" t="s">
        <v>27</v>
      </c>
      <c r="G19" s="4">
        <v>45662</v>
      </c>
      <c r="H19" s="3">
        <v>25</v>
      </c>
      <c r="I19" s="3" t="s">
        <v>48</v>
      </c>
      <c r="J19" s="3" t="s">
        <v>49</v>
      </c>
      <c r="K19" s="3" t="s">
        <v>50</v>
      </c>
      <c r="L19" s="3" t="s">
        <v>31</v>
      </c>
      <c r="M19" s="4">
        <v>46061</v>
      </c>
      <c r="N19" s="3">
        <v>2</v>
      </c>
      <c r="O19" s="5">
        <v>16999</v>
      </c>
      <c r="P19" s="3">
        <v>7</v>
      </c>
      <c r="Q19" s="5">
        <v>33998</v>
      </c>
      <c r="R19" s="5">
        <v>2379.86</v>
      </c>
      <c r="S19" s="5">
        <v>31618.14</v>
      </c>
      <c r="T19" s="5">
        <v>6323.6280000000006</v>
      </c>
      <c r="U19" s="3" t="s">
        <v>51</v>
      </c>
      <c r="V19" s="3" t="s">
        <v>52</v>
      </c>
      <c r="W19" s="3" t="s">
        <v>72</v>
      </c>
    </row>
    <row r="20" spans="1:23" x14ac:dyDescent="0.25">
      <c r="A20" s="3" t="s">
        <v>101</v>
      </c>
      <c r="B20" s="3">
        <v>102</v>
      </c>
      <c r="C20" s="3" t="s">
        <v>36</v>
      </c>
      <c r="D20" s="3" t="s">
        <v>25</v>
      </c>
      <c r="E20" s="3" t="s">
        <v>37</v>
      </c>
      <c r="F20" s="3" t="s">
        <v>38</v>
      </c>
      <c r="G20" s="4">
        <v>45665</v>
      </c>
      <c r="H20" s="3">
        <v>24</v>
      </c>
      <c r="I20" s="3" t="s">
        <v>57</v>
      </c>
      <c r="J20" s="3" t="s">
        <v>58</v>
      </c>
      <c r="K20" s="3" t="s">
        <v>59</v>
      </c>
      <c r="L20" s="3" t="s">
        <v>31</v>
      </c>
      <c r="M20" s="4">
        <v>46063</v>
      </c>
      <c r="N20" s="3">
        <v>5</v>
      </c>
      <c r="O20" s="5">
        <v>27999</v>
      </c>
      <c r="P20" s="3">
        <v>10</v>
      </c>
      <c r="Q20" s="5">
        <v>139995</v>
      </c>
      <c r="R20" s="5">
        <v>13999.5</v>
      </c>
      <c r="S20" s="5">
        <v>125995.5</v>
      </c>
      <c r="T20" s="5">
        <v>31498.875</v>
      </c>
      <c r="U20" s="3" t="s">
        <v>60</v>
      </c>
      <c r="V20" s="3" t="s">
        <v>33</v>
      </c>
      <c r="W20" s="3" t="s">
        <v>34</v>
      </c>
    </row>
    <row r="21" spans="1:23" x14ac:dyDescent="0.25">
      <c r="A21" s="3" t="s">
        <v>102</v>
      </c>
      <c r="B21" s="3">
        <v>103</v>
      </c>
      <c r="C21" s="3" t="s">
        <v>46</v>
      </c>
      <c r="D21" s="3" t="s">
        <v>47</v>
      </c>
      <c r="E21" s="3" t="s">
        <v>26</v>
      </c>
      <c r="F21" s="3" t="s">
        <v>38</v>
      </c>
      <c r="G21" s="4">
        <v>45669</v>
      </c>
      <c r="H21" s="3">
        <v>23</v>
      </c>
      <c r="I21" s="3" t="s">
        <v>65</v>
      </c>
      <c r="J21" s="3" t="s">
        <v>66</v>
      </c>
      <c r="K21" s="3" t="s">
        <v>41</v>
      </c>
      <c r="L21" s="3" t="s">
        <v>67</v>
      </c>
      <c r="M21" s="4">
        <v>46065</v>
      </c>
      <c r="N21" s="3">
        <v>1</v>
      </c>
      <c r="O21" s="5">
        <v>8999</v>
      </c>
      <c r="P21" s="3">
        <v>5</v>
      </c>
      <c r="Q21" s="5">
        <v>8999</v>
      </c>
      <c r="R21" s="5">
        <v>449.95</v>
      </c>
      <c r="S21" s="5">
        <v>8549.0499999999993</v>
      </c>
      <c r="T21" s="5">
        <v>2564.7150000000001</v>
      </c>
      <c r="U21" s="3" t="s">
        <v>68</v>
      </c>
      <c r="V21" s="3" t="s">
        <v>43</v>
      </c>
      <c r="W21" s="3" t="s">
        <v>44</v>
      </c>
    </row>
    <row r="22" spans="1:23" x14ac:dyDescent="0.25">
      <c r="A22" s="3" t="s">
        <v>103</v>
      </c>
      <c r="B22" s="3">
        <v>104</v>
      </c>
      <c r="C22" s="3" t="s">
        <v>55</v>
      </c>
      <c r="D22" s="3" t="s">
        <v>56</v>
      </c>
      <c r="E22" s="3" t="s">
        <v>26</v>
      </c>
      <c r="F22" s="3" t="s">
        <v>38</v>
      </c>
      <c r="G22" s="4">
        <v>45672</v>
      </c>
      <c r="H22" s="3">
        <v>26</v>
      </c>
      <c r="I22" s="3" t="s">
        <v>28</v>
      </c>
      <c r="J22" s="3" t="s">
        <v>29</v>
      </c>
      <c r="K22" s="3" t="s">
        <v>30</v>
      </c>
      <c r="L22" s="3" t="s">
        <v>31</v>
      </c>
      <c r="M22" s="4">
        <v>46067</v>
      </c>
      <c r="N22" s="3">
        <v>1</v>
      </c>
      <c r="O22" s="5">
        <v>69999</v>
      </c>
      <c r="P22" s="3">
        <v>0</v>
      </c>
      <c r="Q22" s="5">
        <v>69999</v>
      </c>
      <c r="R22" s="5">
        <v>0</v>
      </c>
      <c r="S22" s="5">
        <v>69999</v>
      </c>
      <c r="T22" s="5">
        <v>6999.9000000000005</v>
      </c>
      <c r="U22" s="3" t="s">
        <v>32</v>
      </c>
      <c r="V22" s="3" t="s">
        <v>52</v>
      </c>
      <c r="W22" s="3" t="s">
        <v>53</v>
      </c>
    </row>
    <row r="23" spans="1:23" x14ac:dyDescent="0.25">
      <c r="A23" s="3" t="s">
        <v>104</v>
      </c>
      <c r="B23" s="3">
        <v>105</v>
      </c>
      <c r="C23" s="3" t="s">
        <v>63</v>
      </c>
      <c r="D23" s="3" t="s">
        <v>56</v>
      </c>
      <c r="E23" s="3" t="s">
        <v>64</v>
      </c>
      <c r="F23" s="3" t="s">
        <v>38</v>
      </c>
      <c r="G23" s="4">
        <v>45677</v>
      </c>
      <c r="H23" s="3">
        <v>22</v>
      </c>
      <c r="I23" s="3" t="s">
        <v>39</v>
      </c>
      <c r="J23" s="3" t="s">
        <v>40</v>
      </c>
      <c r="K23" s="3" t="s">
        <v>41</v>
      </c>
      <c r="L23" s="3" t="s">
        <v>31</v>
      </c>
      <c r="M23" s="4">
        <v>46069</v>
      </c>
      <c r="N23" s="3">
        <v>2</v>
      </c>
      <c r="O23" s="5">
        <v>30999</v>
      </c>
      <c r="P23" s="3">
        <v>5</v>
      </c>
      <c r="Q23" s="5">
        <v>61998</v>
      </c>
      <c r="R23" s="5">
        <v>3099.9</v>
      </c>
      <c r="S23" s="5">
        <v>58898.1</v>
      </c>
      <c r="T23" s="5">
        <v>11779.62</v>
      </c>
      <c r="U23" s="3" t="s">
        <v>42</v>
      </c>
      <c r="V23" s="3" t="s">
        <v>33</v>
      </c>
      <c r="W23" s="3" t="s">
        <v>61</v>
      </c>
    </row>
    <row r="24" spans="1:23" x14ac:dyDescent="0.25">
      <c r="A24" s="3" t="s">
        <v>105</v>
      </c>
      <c r="B24" s="3">
        <v>106</v>
      </c>
      <c r="C24" s="3" t="s">
        <v>71</v>
      </c>
      <c r="D24" s="3" t="s">
        <v>56</v>
      </c>
      <c r="E24" s="3" t="s">
        <v>26</v>
      </c>
      <c r="F24" s="3" t="s">
        <v>38</v>
      </c>
      <c r="G24" s="4">
        <v>45679</v>
      </c>
      <c r="H24" s="3">
        <v>24</v>
      </c>
      <c r="I24" s="3" t="s">
        <v>48</v>
      </c>
      <c r="J24" s="3" t="s">
        <v>49</v>
      </c>
      <c r="K24" s="3" t="s">
        <v>50</v>
      </c>
      <c r="L24" s="3" t="s">
        <v>31</v>
      </c>
      <c r="M24" s="4">
        <v>46071</v>
      </c>
      <c r="N24" s="3">
        <v>1</v>
      </c>
      <c r="O24" s="5">
        <v>16999</v>
      </c>
      <c r="P24" s="3">
        <v>10</v>
      </c>
      <c r="Q24" s="5">
        <v>16999</v>
      </c>
      <c r="R24" s="5">
        <v>1699.9</v>
      </c>
      <c r="S24" s="5">
        <v>15299.1</v>
      </c>
      <c r="T24" s="5">
        <v>3824.7750000000001</v>
      </c>
      <c r="U24" s="3" t="s">
        <v>51</v>
      </c>
      <c r="V24" s="3" t="s">
        <v>43</v>
      </c>
      <c r="W24" s="3" t="s">
        <v>69</v>
      </c>
    </row>
    <row r="25" spans="1:23" x14ac:dyDescent="0.25">
      <c r="A25" s="3" t="s">
        <v>106</v>
      </c>
      <c r="B25" s="3">
        <v>107</v>
      </c>
      <c r="C25" s="3" t="s">
        <v>74</v>
      </c>
      <c r="D25" s="3" t="s">
        <v>25</v>
      </c>
      <c r="E25" s="3" t="s">
        <v>26</v>
      </c>
      <c r="F25" s="3" t="s">
        <v>27</v>
      </c>
      <c r="G25" s="4">
        <v>45682</v>
      </c>
      <c r="H25" s="3">
        <v>27</v>
      </c>
      <c r="I25" s="3" t="s">
        <v>57</v>
      </c>
      <c r="J25" s="3" t="s">
        <v>58</v>
      </c>
      <c r="K25" s="3" t="s">
        <v>59</v>
      </c>
      <c r="L25" s="3" t="s">
        <v>31</v>
      </c>
      <c r="M25" s="4">
        <v>46073</v>
      </c>
      <c r="N25" s="3">
        <v>3</v>
      </c>
      <c r="O25" s="5">
        <v>27999</v>
      </c>
      <c r="P25" s="3">
        <v>5</v>
      </c>
      <c r="Q25" s="5">
        <v>83997</v>
      </c>
      <c r="R25" s="5">
        <v>4199.8500000000004</v>
      </c>
      <c r="S25" s="5">
        <v>79797.149999999994</v>
      </c>
      <c r="T25" s="5">
        <v>23939.145</v>
      </c>
      <c r="U25" s="3" t="s">
        <v>60</v>
      </c>
      <c r="V25" s="3" t="s">
        <v>52</v>
      </c>
      <c r="W25" s="3" t="s">
        <v>72</v>
      </c>
    </row>
    <row r="26" spans="1:23" x14ac:dyDescent="0.25">
      <c r="A26" s="3" t="s">
        <v>107</v>
      </c>
      <c r="B26" s="3">
        <v>108</v>
      </c>
      <c r="C26" s="3" t="s">
        <v>76</v>
      </c>
      <c r="D26" s="3" t="s">
        <v>47</v>
      </c>
      <c r="E26" s="3" t="s">
        <v>37</v>
      </c>
      <c r="F26" s="3" t="s">
        <v>27</v>
      </c>
      <c r="G26" s="4">
        <v>45685</v>
      </c>
      <c r="H26" s="3">
        <v>21</v>
      </c>
      <c r="I26" s="3" t="s">
        <v>65</v>
      </c>
      <c r="J26" s="3" t="s">
        <v>66</v>
      </c>
      <c r="K26" s="3" t="s">
        <v>41</v>
      </c>
      <c r="L26" s="3" t="s">
        <v>67</v>
      </c>
      <c r="M26" s="4">
        <v>46075</v>
      </c>
      <c r="N26" s="3">
        <v>2</v>
      </c>
      <c r="O26" s="5">
        <v>8999</v>
      </c>
      <c r="P26" s="3">
        <v>8</v>
      </c>
      <c r="Q26" s="5">
        <v>17998</v>
      </c>
      <c r="R26" s="5">
        <v>1439.84</v>
      </c>
      <c r="S26" s="5">
        <v>16558.16</v>
      </c>
      <c r="T26" s="5">
        <v>1655.816</v>
      </c>
      <c r="U26" s="3" t="s">
        <v>68</v>
      </c>
      <c r="V26" s="3" t="s">
        <v>33</v>
      </c>
      <c r="W26" s="3" t="s">
        <v>34</v>
      </c>
    </row>
    <row r="27" spans="1:23" x14ac:dyDescent="0.25">
      <c r="A27" s="3" t="s">
        <v>108</v>
      </c>
      <c r="B27" s="3">
        <v>109</v>
      </c>
      <c r="C27" s="3" t="s">
        <v>78</v>
      </c>
      <c r="D27" s="3" t="s">
        <v>79</v>
      </c>
      <c r="E27" s="3" t="s">
        <v>64</v>
      </c>
      <c r="F27" s="3" t="s">
        <v>27</v>
      </c>
      <c r="G27" s="4">
        <v>45690</v>
      </c>
      <c r="H27" s="3">
        <v>26</v>
      </c>
      <c r="I27" s="3" t="s">
        <v>28</v>
      </c>
      <c r="J27" s="3" t="s">
        <v>29</v>
      </c>
      <c r="K27" s="3" t="s">
        <v>30</v>
      </c>
      <c r="L27" s="3" t="s">
        <v>31</v>
      </c>
      <c r="M27" s="4">
        <v>46077</v>
      </c>
      <c r="N27" s="3">
        <v>4</v>
      </c>
      <c r="O27" s="5">
        <v>69999</v>
      </c>
      <c r="P27" s="3">
        <v>12</v>
      </c>
      <c r="Q27" s="5">
        <v>279996</v>
      </c>
      <c r="R27" s="5">
        <v>33599.519999999997</v>
      </c>
      <c r="S27" s="5">
        <v>246396.48</v>
      </c>
      <c r="T27" s="5">
        <v>49279.296000000002</v>
      </c>
      <c r="U27" s="3" t="s">
        <v>32</v>
      </c>
      <c r="V27" s="3" t="s">
        <v>43</v>
      </c>
      <c r="W27" s="3" t="s">
        <v>44</v>
      </c>
    </row>
    <row r="28" spans="1:23" x14ac:dyDescent="0.25">
      <c r="A28" s="3" t="s">
        <v>109</v>
      </c>
      <c r="B28" s="3">
        <v>110</v>
      </c>
      <c r="C28" s="3" t="s">
        <v>81</v>
      </c>
      <c r="D28" s="3" t="s">
        <v>82</v>
      </c>
      <c r="E28" s="3" t="s">
        <v>26</v>
      </c>
      <c r="F28" s="3" t="s">
        <v>38</v>
      </c>
      <c r="G28" s="4">
        <v>45693</v>
      </c>
      <c r="H28" s="3">
        <v>25</v>
      </c>
      <c r="I28" s="3" t="s">
        <v>39</v>
      </c>
      <c r="J28" s="3" t="s">
        <v>40</v>
      </c>
      <c r="K28" s="3" t="s">
        <v>41</v>
      </c>
      <c r="L28" s="3" t="s">
        <v>31</v>
      </c>
      <c r="M28" s="4">
        <v>46079</v>
      </c>
      <c r="N28" s="3">
        <v>1</v>
      </c>
      <c r="O28" s="5">
        <v>30999</v>
      </c>
      <c r="P28" s="3">
        <v>0</v>
      </c>
      <c r="Q28" s="5">
        <v>30999</v>
      </c>
      <c r="R28" s="5">
        <v>0</v>
      </c>
      <c r="S28" s="5">
        <v>30999</v>
      </c>
      <c r="T28" s="5">
        <v>7749.75</v>
      </c>
      <c r="U28" s="3" t="s">
        <v>42</v>
      </c>
      <c r="V28" s="3" t="s">
        <v>52</v>
      </c>
      <c r="W28" s="3" t="s">
        <v>53</v>
      </c>
    </row>
    <row r="29" spans="1:23" x14ac:dyDescent="0.25">
      <c r="A29" s="3" t="s">
        <v>110</v>
      </c>
      <c r="B29" s="3">
        <v>111</v>
      </c>
      <c r="C29" s="3" t="s">
        <v>84</v>
      </c>
      <c r="D29" s="3" t="s">
        <v>79</v>
      </c>
      <c r="E29" s="3" t="s">
        <v>37</v>
      </c>
      <c r="F29" s="3" t="s">
        <v>38</v>
      </c>
      <c r="G29" s="4">
        <v>45696</v>
      </c>
      <c r="H29" s="3">
        <v>27</v>
      </c>
      <c r="I29" s="3" t="s">
        <v>48</v>
      </c>
      <c r="J29" s="3" t="s">
        <v>49</v>
      </c>
      <c r="K29" s="3" t="s">
        <v>50</v>
      </c>
      <c r="L29" s="3" t="s">
        <v>31</v>
      </c>
      <c r="M29" s="4">
        <v>46081</v>
      </c>
      <c r="N29" s="3">
        <v>2</v>
      </c>
      <c r="O29" s="5">
        <v>16999</v>
      </c>
      <c r="P29" s="3">
        <v>7</v>
      </c>
      <c r="Q29" s="5">
        <v>33998</v>
      </c>
      <c r="R29" s="5">
        <v>2379.86</v>
      </c>
      <c r="S29" s="5">
        <v>31618.14</v>
      </c>
      <c r="T29" s="5">
        <v>9485.4419999999991</v>
      </c>
      <c r="U29" s="3" t="s">
        <v>51</v>
      </c>
      <c r="V29" s="3" t="s">
        <v>33</v>
      </c>
      <c r="W29" s="3" t="s">
        <v>61</v>
      </c>
    </row>
    <row r="30" spans="1:23" x14ac:dyDescent="0.25">
      <c r="A30" s="3" t="s">
        <v>111</v>
      </c>
      <c r="B30" s="3">
        <v>112</v>
      </c>
      <c r="C30" s="3" t="s">
        <v>86</v>
      </c>
      <c r="D30" s="3" t="s">
        <v>87</v>
      </c>
      <c r="E30" s="3" t="s">
        <v>88</v>
      </c>
      <c r="F30" s="3" t="s">
        <v>38</v>
      </c>
      <c r="G30" s="4">
        <v>45700</v>
      </c>
      <c r="H30" s="3">
        <v>28</v>
      </c>
      <c r="I30" s="3" t="s">
        <v>57</v>
      </c>
      <c r="J30" s="3" t="s">
        <v>58</v>
      </c>
      <c r="K30" s="3" t="s">
        <v>59</v>
      </c>
      <c r="L30" s="3" t="s">
        <v>31</v>
      </c>
      <c r="M30" s="4">
        <v>46083</v>
      </c>
      <c r="N30" s="3">
        <v>5</v>
      </c>
      <c r="O30" s="5">
        <v>27999</v>
      </c>
      <c r="P30" s="3">
        <v>10</v>
      </c>
      <c r="Q30" s="5">
        <v>139995</v>
      </c>
      <c r="R30" s="5">
        <v>13999.5</v>
      </c>
      <c r="S30" s="5">
        <v>125995.5</v>
      </c>
      <c r="T30" s="5">
        <v>12599.55</v>
      </c>
      <c r="U30" s="3" t="s">
        <v>60</v>
      </c>
      <c r="V30" s="3" t="s">
        <v>43</v>
      </c>
      <c r="W30" s="3" t="s">
        <v>69</v>
      </c>
    </row>
    <row r="31" spans="1:23" x14ac:dyDescent="0.25">
      <c r="A31" s="3" t="s">
        <v>112</v>
      </c>
      <c r="B31" s="3">
        <v>113</v>
      </c>
      <c r="C31" s="3" t="s">
        <v>90</v>
      </c>
      <c r="D31" s="3" t="s">
        <v>91</v>
      </c>
      <c r="E31" s="3" t="s">
        <v>26</v>
      </c>
      <c r="F31" s="3" t="s">
        <v>38</v>
      </c>
      <c r="G31" s="4">
        <v>45703</v>
      </c>
      <c r="H31" s="3">
        <v>20</v>
      </c>
      <c r="I31" s="3" t="s">
        <v>65</v>
      </c>
      <c r="J31" s="3" t="s">
        <v>66</v>
      </c>
      <c r="K31" s="3" t="s">
        <v>41</v>
      </c>
      <c r="L31" s="3" t="s">
        <v>67</v>
      </c>
      <c r="M31" s="4">
        <v>46085</v>
      </c>
      <c r="N31" s="3">
        <v>1</v>
      </c>
      <c r="O31" s="5">
        <v>8999</v>
      </c>
      <c r="P31" s="3">
        <v>5</v>
      </c>
      <c r="Q31" s="5">
        <v>8999</v>
      </c>
      <c r="R31" s="5">
        <v>449.95</v>
      </c>
      <c r="S31" s="5">
        <v>8549.0499999999993</v>
      </c>
      <c r="T31" s="5">
        <v>1709.81</v>
      </c>
      <c r="U31" s="3" t="s">
        <v>68</v>
      </c>
      <c r="V31" s="3" t="s">
        <v>52</v>
      </c>
      <c r="W31" s="3" t="s">
        <v>72</v>
      </c>
    </row>
    <row r="32" spans="1:23" x14ac:dyDescent="0.25">
      <c r="A32" s="3" t="s">
        <v>113</v>
      </c>
      <c r="B32" s="3">
        <v>114</v>
      </c>
      <c r="C32" s="3" t="s">
        <v>93</v>
      </c>
      <c r="D32" s="3" t="s">
        <v>91</v>
      </c>
      <c r="E32" s="3" t="s">
        <v>26</v>
      </c>
      <c r="F32" s="3" t="s">
        <v>38</v>
      </c>
      <c r="G32" s="4">
        <v>45706</v>
      </c>
      <c r="H32" s="3">
        <v>22</v>
      </c>
      <c r="I32" s="3" t="s">
        <v>28</v>
      </c>
      <c r="J32" s="3" t="s">
        <v>29</v>
      </c>
      <c r="K32" s="3" t="s">
        <v>30</v>
      </c>
      <c r="L32" s="3" t="s">
        <v>31</v>
      </c>
      <c r="M32" s="4">
        <v>46087</v>
      </c>
      <c r="N32" s="3">
        <v>1</v>
      </c>
      <c r="O32" s="5">
        <v>69999</v>
      </c>
      <c r="P32" s="3">
        <v>0</v>
      </c>
      <c r="Q32" s="5">
        <v>69999</v>
      </c>
      <c r="R32" s="5">
        <v>0</v>
      </c>
      <c r="S32" s="5">
        <v>69999</v>
      </c>
      <c r="T32" s="5">
        <v>17499.75</v>
      </c>
      <c r="U32" s="3" t="s">
        <v>32</v>
      </c>
      <c r="V32" s="3" t="s">
        <v>33</v>
      </c>
      <c r="W32" s="3" t="s">
        <v>34</v>
      </c>
    </row>
    <row r="33" spans="1:23" x14ac:dyDescent="0.25">
      <c r="A33" s="3" t="s">
        <v>114</v>
      </c>
      <c r="B33" s="3">
        <v>115</v>
      </c>
      <c r="C33" s="3" t="s">
        <v>95</v>
      </c>
      <c r="D33" s="3" t="s">
        <v>82</v>
      </c>
      <c r="E33" s="3" t="s">
        <v>37</v>
      </c>
      <c r="F33" s="3" t="s">
        <v>27</v>
      </c>
      <c r="G33" s="4">
        <v>45708</v>
      </c>
      <c r="H33" s="3">
        <v>24</v>
      </c>
      <c r="I33" s="3" t="s">
        <v>39</v>
      </c>
      <c r="J33" s="3" t="s">
        <v>40</v>
      </c>
      <c r="K33" s="3" t="s">
        <v>41</v>
      </c>
      <c r="L33" s="3" t="s">
        <v>31</v>
      </c>
      <c r="M33" s="4">
        <v>46089</v>
      </c>
      <c r="N33" s="3">
        <v>2</v>
      </c>
      <c r="O33" s="5">
        <v>30999</v>
      </c>
      <c r="P33" s="3">
        <v>5</v>
      </c>
      <c r="Q33" s="5">
        <v>61998</v>
      </c>
      <c r="R33" s="5">
        <v>3099.9</v>
      </c>
      <c r="S33" s="5">
        <v>58898.1</v>
      </c>
      <c r="T33" s="5">
        <v>17669.43</v>
      </c>
      <c r="U33" s="3" t="s">
        <v>42</v>
      </c>
      <c r="V33" s="3" t="s">
        <v>43</v>
      </c>
      <c r="W33" s="3" t="s">
        <v>44</v>
      </c>
    </row>
    <row r="34" spans="1:23" x14ac:dyDescent="0.25">
      <c r="A34" s="3" t="s">
        <v>115</v>
      </c>
      <c r="B34" s="3">
        <v>116</v>
      </c>
      <c r="C34" s="3" t="s">
        <v>97</v>
      </c>
      <c r="D34" s="3" t="s">
        <v>82</v>
      </c>
      <c r="E34" s="3" t="s">
        <v>64</v>
      </c>
      <c r="F34" s="3" t="s">
        <v>27</v>
      </c>
      <c r="G34" s="4">
        <v>45710</v>
      </c>
      <c r="H34" s="3">
        <v>23</v>
      </c>
      <c r="I34" s="3" t="s">
        <v>48</v>
      </c>
      <c r="J34" s="3" t="s">
        <v>49</v>
      </c>
      <c r="K34" s="3" t="s">
        <v>50</v>
      </c>
      <c r="L34" s="3" t="s">
        <v>31</v>
      </c>
      <c r="M34" s="4">
        <v>46091</v>
      </c>
      <c r="N34" s="3">
        <v>1</v>
      </c>
      <c r="O34" s="5">
        <v>16999</v>
      </c>
      <c r="P34" s="3">
        <v>10</v>
      </c>
      <c r="Q34" s="5">
        <v>16999</v>
      </c>
      <c r="R34" s="5">
        <v>1699.9</v>
      </c>
      <c r="S34" s="5">
        <v>15299.1</v>
      </c>
      <c r="T34" s="5">
        <v>1529.91</v>
      </c>
      <c r="U34" s="3" t="s">
        <v>51</v>
      </c>
      <c r="V34" s="3" t="s">
        <v>52</v>
      </c>
      <c r="W34" s="3" t="s">
        <v>53</v>
      </c>
    </row>
    <row r="35" spans="1:23" x14ac:dyDescent="0.25">
      <c r="A35" s="3" t="s">
        <v>116</v>
      </c>
      <c r="B35" s="3">
        <v>117</v>
      </c>
      <c r="C35" s="3" t="s">
        <v>99</v>
      </c>
      <c r="D35" s="3" t="s">
        <v>47</v>
      </c>
      <c r="E35" s="3" t="s">
        <v>26</v>
      </c>
      <c r="F35" s="3" t="s">
        <v>38</v>
      </c>
      <c r="G35" s="4">
        <v>45713</v>
      </c>
      <c r="H35" s="3">
        <v>26</v>
      </c>
      <c r="I35" s="3" t="s">
        <v>57</v>
      </c>
      <c r="J35" s="3" t="s">
        <v>58</v>
      </c>
      <c r="K35" s="3" t="s">
        <v>59</v>
      </c>
      <c r="L35" s="3" t="s">
        <v>31</v>
      </c>
      <c r="M35" s="4">
        <v>46093</v>
      </c>
      <c r="N35" s="3">
        <v>3</v>
      </c>
      <c r="O35" s="5">
        <v>27999</v>
      </c>
      <c r="P35" s="3">
        <v>5</v>
      </c>
      <c r="Q35" s="5">
        <v>83997</v>
      </c>
      <c r="R35" s="5">
        <v>4199.8500000000004</v>
      </c>
      <c r="S35" s="5">
        <v>79797.149999999994</v>
      </c>
      <c r="T35" s="5">
        <v>15959.43</v>
      </c>
      <c r="U35" s="3" t="s">
        <v>60</v>
      </c>
      <c r="V35" s="3" t="s">
        <v>33</v>
      </c>
      <c r="W35" s="3" t="s">
        <v>61</v>
      </c>
    </row>
    <row r="36" spans="1:23" x14ac:dyDescent="0.25">
      <c r="A36" s="3" t="s">
        <v>117</v>
      </c>
      <c r="B36" s="3">
        <v>101</v>
      </c>
      <c r="C36" s="3" t="s">
        <v>24</v>
      </c>
      <c r="D36" s="3" t="s">
        <v>25</v>
      </c>
      <c r="E36" s="3" t="s">
        <v>26</v>
      </c>
      <c r="F36" s="3" t="s">
        <v>27</v>
      </c>
      <c r="G36" s="4">
        <v>45662</v>
      </c>
      <c r="H36" s="3">
        <v>25</v>
      </c>
      <c r="I36" s="3" t="s">
        <v>65</v>
      </c>
      <c r="J36" s="3" t="s">
        <v>66</v>
      </c>
      <c r="K36" s="3" t="s">
        <v>41</v>
      </c>
      <c r="L36" s="3" t="s">
        <v>67</v>
      </c>
      <c r="M36" s="4">
        <v>46095</v>
      </c>
      <c r="N36" s="3">
        <v>2</v>
      </c>
      <c r="O36" s="5">
        <v>8999</v>
      </c>
      <c r="P36" s="3">
        <v>8</v>
      </c>
      <c r="Q36" s="5">
        <v>17998</v>
      </c>
      <c r="R36" s="5">
        <v>1439.84</v>
      </c>
      <c r="S36" s="5">
        <v>16558.16</v>
      </c>
      <c r="T36" s="5">
        <v>4139.54</v>
      </c>
      <c r="U36" s="3" t="s">
        <v>68</v>
      </c>
      <c r="V36" s="3" t="s">
        <v>43</v>
      </c>
      <c r="W36" s="3" t="s">
        <v>69</v>
      </c>
    </row>
    <row r="37" spans="1:23" x14ac:dyDescent="0.25">
      <c r="A37" s="3" t="s">
        <v>118</v>
      </c>
      <c r="B37" s="3">
        <v>102</v>
      </c>
      <c r="C37" s="3" t="s">
        <v>36</v>
      </c>
      <c r="D37" s="3" t="s">
        <v>25</v>
      </c>
      <c r="E37" s="3" t="s">
        <v>37</v>
      </c>
      <c r="F37" s="3" t="s">
        <v>38</v>
      </c>
      <c r="G37" s="4">
        <v>45665</v>
      </c>
      <c r="H37" s="3">
        <v>24</v>
      </c>
      <c r="I37" s="3" t="s">
        <v>28</v>
      </c>
      <c r="J37" s="3" t="s">
        <v>29</v>
      </c>
      <c r="K37" s="3" t="s">
        <v>30</v>
      </c>
      <c r="L37" s="3" t="s">
        <v>31</v>
      </c>
      <c r="M37" s="4">
        <v>46097</v>
      </c>
      <c r="N37" s="3">
        <v>4</v>
      </c>
      <c r="O37" s="5">
        <v>69999</v>
      </c>
      <c r="P37" s="3">
        <v>12</v>
      </c>
      <c r="Q37" s="5">
        <v>279996</v>
      </c>
      <c r="R37" s="5">
        <v>33599.519999999997</v>
      </c>
      <c r="S37" s="5">
        <v>246396.48</v>
      </c>
      <c r="T37" s="5">
        <v>73918.944000000003</v>
      </c>
      <c r="U37" s="3" t="s">
        <v>32</v>
      </c>
      <c r="V37" s="3" t="s">
        <v>52</v>
      </c>
      <c r="W37" s="3" t="s">
        <v>72</v>
      </c>
    </row>
    <row r="38" spans="1:23" x14ac:dyDescent="0.25">
      <c r="A38" s="3" t="s">
        <v>119</v>
      </c>
      <c r="B38" s="3">
        <v>103</v>
      </c>
      <c r="C38" s="3" t="s">
        <v>46</v>
      </c>
      <c r="D38" s="3" t="s">
        <v>47</v>
      </c>
      <c r="E38" s="3" t="s">
        <v>26</v>
      </c>
      <c r="F38" s="3" t="s">
        <v>38</v>
      </c>
      <c r="G38" s="4">
        <v>45669</v>
      </c>
      <c r="H38" s="3">
        <v>23</v>
      </c>
      <c r="I38" s="3" t="s">
        <v>39</v>
      </c>
      <c r="J38" s="3" t="s">
        <v>40</v>
      </c>
      <c r="K38" s="3" t="s">
        <v>41</v>
      </c>
      <c r="L38" s="3" t="s">
        <v>31</v>
      </c>
      <c r="M38" s="4">
        <v>46099</v>
      </c>
      <c r="N38" s="3">
        <v>1</v>
      </c>
      <c r="O38" s="5">
        <v>30999</v>
      </c>
      <c r="P38" s="3">
        <v>0</v>
      </c>
      <c r="Q38" s="5">
        <v>30999</v>
      </c>
      <c r="R38" s="5">
        <v>0</v>
      </c>
      <c r="S38" s="5">
        <v>30999</v>
      </c>
      <c r="T38" s="5">
        <v>3099.9</v>
      </c>
      <c r="U38" s="3" t="s">
        <v>42</v>
      </c>
      <c r="V38" s="3" t="s">
        <v>33</v>
      </c>
      <c r="W38" s="3" t="s">
        <v>34</v>
      </c>
    </row>
    <row r="39" spans="1:23" x14ac:dyDescent="0.25">
      <c r="A39" s="3" t="s">
        <v>120</v>
      </c>
      <c r="B39" s="3">
        <v>104</v>
      </c>
      <c r="C39" s="3" t="s">
        <v>55</v>
      </c>
      <c r="D39" s="3" t="s">
        <v>56</v>
      </c>
      <c r="E39" s="3" t="s">
        <v>26</v>
      </c>
      <c r="F39" s="3" t="s">
        <v>38</v>
      </c>
      <c r="G39" s="4">
        <v>45672</v>
      </c>
      <c r="H39" s="3">
        <v>26</v>
      </c>
      <c r="I39" s="3" t="s">
        <v>48</v>
      </c>
      <c r="J39" s="3" t="s">
        <v>49</v>
      </c>
      <c r="K39" s="3" t="s">
        <v>50</v>
      </c>
      <c r="L39" s="3" t="s">
        <v>31</v>
      </c>
      <c r="M39" s="4">
        <v>46101</v>
      </c>
      <c r="N39" s="3">
        <v>2</v>
      </c>
      <c r="O39" s="5">
        <v>16999</v>
      </c>
      <c r="P39" s="3">
        <v>7</v>
      </c>
      <c r="Q39" s="5">
        <v>33998</v>
      </c>
      <c r="R39" s="5">
        <v>2379.86</v>
      </c>
      <c r="S39" s="5">
        <v>31618.14</v>
      </c>
      <c r="T39" s="5">
        <v>6323.6280000000006</v>
      </c>
      <c r="U39" s="3" t="s">
        <v>51</v>
      </c>
      <c r="V39" s="3" t="s">
        <v>43</v>
      </c>
      <c r="W39" s="3" t="s">
        <v>44</v>
      </c>
    </row>
    <row r="40" spans="1:23" x14ac:dyDescent="0.25">
      <c r="A40" s="3" t="s">
        <v>121</v>
      </c>
      <c r="B40" s="3">
        <v>105</v>
      </c>
      <c r="C40" s="3" t="s">
        <v>63</v>
      </c>
      <c r="D40" s="3" t="s">
        <v>56</v>
      </c>
      <c r="E40" s="3" t="s">
        <v>64</v>
      </c>
      <c r="F40" s="3" t="s">
        <v>38</v>
      </c>
      <c r="G40" s="4">
        <v>45677</v>
      </c>
      <c r="H40" s="3">
        <v>22</v>
      </c>
      <c r="I40" s="3" t="s">
        <v>57</v>
      </c>
      <c r="J40" s="3" t="s">
        <v>58</v>
      </c>
      <c r="K40" s="3" t="s">
        <v>59</v>
      </c>
      <c r="L40" s="3" t="s">
        <v>31</v>
      </c>
      <c r="M40" s="4">
        <v>46103</v>
      </c>
      <c r="N40" s="3">
        <v>5</v>
      </c>
      <c r="O40" s="5">
        <v>27999</v>
      </c>
      <c r="P40" s="3">
        <v>10</v>
      </c>
      <c r="Q40" s="5">
        <v>139995</v>
      </c>
      <c r="R40" s="5">
        <v>13999.5</v>
      </c>
      <c r="S40" s="5">
        <v>125995.5</v>
      </c>
      <c r="T40" s="5">
        <v>31498.875</v>
      </c>
      <c r="U40" s="3" t="s">
        <v>60</v>
      </c>
      <c r="V40" s="3" t="s">
        <v>52</v>
      </c>
      <c r="W40" s="3" t="s">
        <v>53</v>
      </c>
    </row>
    <row r="41" spans="1:23" x14ac:dyDescent="0.25">
      <c r="A41" s="3" t="s">
        <v>122</v>
      </c>
      <c r="B41" s="3">
        <v>106</v>
      </c>
      <c r="C41" s="3" t="s">
        <v>71</v>
      </c>
      <c r="D41" s="3" t="s">
        <v>56</v>
      </c>
      <c r="E41" s="3" t="s">
        <v>26</v>
      </c>
      <c r="F41" s="3" t="s">
        <v>38</v>
      </c>
      <c r="G41" s="4">
        <v>45679</v>
      </c>
      <c r="H41" s="3">
        <v>24</v>
      </c>
      <c r="I41" s="3" t="s">
        <v>65</v>
      </c>
      <c r="J41" s="3" t="s">
        <v>66</v>
      </c>
      <c r="K41" s="3" t="s">
        <v>41</v>
      </c>
      <c r="L41" s="3" t="s">
        <v>67</v>
      </c>
      <c r="M41" s="4">
        <v>46105</v>
      </c>
      <c r="N41" s="3">
        <v>1</v>
      </c>
      <c r="O41" s="5">
        <v>8999</v>
      </c>
      <c r="P41" s="3">
        <v>5</v>
      </c>
      <c r="Q41" s="5">
        <v>8999</v>
      </c>
      <c r="R41" s="5">
        <v>449.95</v>
      </c>
      <c r="S41" s="5">
        <v>8549.0499999999993</v>
      </c>
      <c r="T41" s="5">
        <v>2564.7150000000001</v>
      </c>
      <c r="U41" s="3" t="s">
        <v>68</v>
      </c>
      <c r="V41" s="3" t="s">
        <v>33</v>
      </c>
      <c r="W41" s="3" t="s">
        <v>61</v>
      </c>
    </row>
    <row r="42" spans="1:23" x14ac:dyDescent="0.25">
      <c r="A42" s="3" t="s">
        <v>123</v>
      </c>
      <c r="B42" s="3">
        <v>107</v>
      </c>
      <c r="C42" s="3" t="s">
        <v>74</v>
      </c>
      <c r="D42" s="3" t="s">
        <v>25</v>
      </c>
      <c r="E42" s="3" t="s">
        <v>26</v>
      </c>
      <c r="F42" s="3" t="s">
        <v>27</v>
      </c>
      <c r="G42" s="4">
        <v>45682</v>
      </c>
      <c r="H42" s="3">
        <v>27</v>
      </c>
      <c r="I42" s="3" t="s">
        <v>28</v>
      </c>
      <c r="J42" s="3" t="s">
        <v>29</v>
      </c>
      <c r="K42" s="3" t="s">
        <v>30</v>
      </c>
      <c r="L42" s="3" t="s">
        <v>31</v>
      </c>
      <c r="M42" s="4">
        <v>46107</v>
      </c>
      <c r="N42" s="3">
        <v>1</v>
      </c>
      <c r="O42" s="5">
        <v>69999</v>
      </c>
      <c r="P42" s="3">
        <v>0</v>
      </c>
      <c r="Q42" s="5">
        <v>69999</v>
      </c>
      <c r="R42" s="5">
        <v>0</v>
      </c>
      <c r="S42" s="5">
        <v>69999</v>
      </c>
      <c r="T42" s="5">
        <v>6999.9000000000005</v>
      </c>
      <c r="U42" s="3" t="s">
        <v>32</v>
      </c>
      <c r="V42" s="3" t="s">
        <v>43</v>
      </c>
      <c r="W42" s="3" t="s">
        <v>69</v>
      </c>
    </row>
    <row r="43" spans="1:23" x14ac:dyDescent="0.25">
      <c r="A43" s="3" t="s">
        <v>124</v>
      </c>
      <c r="B43" s="3">
        <v>108</v>
      </c>
      <c r="C43" s="3" t="s">
        <v>76</v>
      </c>
      <c r="D43" s="3" t="s">
        <v>47</v>
      </c>
      <c r="E43" s="3" t="s">
        <v>37</v>
      </c>
      <c r="F43" s="3" t="s">
        <v>27</v>
      </c>
      <c r="G43" s="4">
        <v>45685</v>
      </c>
      <c r="H43" s="3">
        <v>21</v>
      </c>
      <c r="I43" s="3" t="s">
        <v>39</v>
      </c>
      <c r="J43" s="3" t="s">
        <v>40</v>
      </c>
      <c r="K43" s="3" t="s">
        <v>41</v>
      </c>
      <c r="L43" s="3" t="s">
        <v>31</v>
      </c>
      <c r="M43" s="4">
        <v>46109</v>
      </c>
      <c r="N43" s="3">
        <v>2</v>
      </c>
      <c r="O43" s="5">
        <v>30999</v>
      </c>
      <c r="P43" s="3">
        <v>5</v>
      </c>
      <c r="Q43" s="5">
        <v>61998</v>
      </c>
      <c r="R43" s="5">
        <v>3099.9</v>
      </c>
      <c r="S43" s="5">
        <v>58898.1</v>
      </c>
      <c r="T43" s="5">
        <v>11779.62</v>
      </c>
      <c r="U43" s="3" t="s">
        <v>42</v>
      </c>
      <c r="V43" s="3" t="s">
        <v>52</v>
      </c>
      <c r="W43" s="3" t="s">
        <v>72</v>
      </c>
    </row>
    <row r="44" spans="1:23" x14ac:dyDescent="0.25">
      <c r="A44" s="3" t="s">
        <v>125</v>
      </c>
      <c r="B44" s="3">
        <v>109</v>
      </c>
      <c r="C44" s="3" t="s">
        <v>78</v>
      </c>
      <c r="D44" s="3" t="s">
        <v>79</v>
      </c>
      <c r="E44" s="3" t="s">
        <v>64</v>
      </c>
      <c r="F44" s="3" t="s">
        <v>27</v>
      </c>
      <c r="G44" s="4">
        <v>45690</v>
      </c>
      <c r="H44" s="3">
        <v>26</v>
      </c>
      <c r="I44" s="3" t="s">
        <v>48</v>
      </c>
      <c r="J44" s="3" t="s">
        <v>49</v>
      </c>
      <c r="K44" s="3" t="s">
        <v>50</v>
      </c>
      <c r="L44" s="3" t="s">
        <v>31</v>
      </c>
      <c r="M44" s="4">
        <v>46111</v>
      </c>
      <c r="N44" s="3">
        <v>1</v>
      </c>
      <c r="O44" s="5">
        <v>16999</v>
      </c>
      <c r="P44" s="3">
        <v>10</v>
      </c>
      <c r="Q44" s="5">
        <v>16999</v>
      </c>
      <c r="R44" s="5">
        <v>1699.9</v>
      </c>
      <c r="S44" s="5">
        <v>15299.1</v>
      </c>
      <c r="T44" s="5">
        <v>3824.7750000000001</v>
      </c>
      <c r="U44" s="3" t="s">
        <v>51</v>
      </c>
      <c r="V44" s="3" t="s">
        <v>33</v>
      </c>
      <c r="W44" s="3" t="s">
        <v>34</v>
      </c>
    </row>
    <row r="45" spans="1:23" x14ac:dyDescent="0.25">
      <c r="A45" s="3" t="s">
        <v>126</v>
      </c>
      <c r="B45" s="3">
        <v>110</v>
      </c>
      <c r="C45" s="3" t="s">
        <v>81</v>
      </c>
      <c r="D45" s="3" t="s">
        <v>82</v>
      </c>
      <c r="E45" s="3" t="s">
        <v>26</v>
      </c>
      <c r="F45" s="3" t="s">
        <v>38</v>
      </c>
      <c r="G45" s="4">
        <v>45693</v>
      </c>
      <c r="H45" s="3">
        <v>25</v>
      </c>
      <c r="I45" s="3" t="s">
        <v>57</v>
      </c>
      <c r="J45" s="3" t="s">
        <v>58</v>
      </c>
      <c r="K45" s="3" t="s">
        <v>59</v>
      </c>
      <c r="L45" s="3" t="s">
        <v>31</v>
      </c>
      <c r="M45" s="4">
        <v>46113</v>
      </c>
      <c r="N45" s="3">
        <v>3</v>
      </c>
      <c r="O45" s="5">
        <v>27999</v>
      </c>
      <c r="P45" s="3">
        <v>5</v>
      </c>
      <c r="Q45" s="5">
        <v>83997</v>
      </c>
      <c r="R45" s="5">
        <v>4199.8500000000004</v>
      </c>
      <c r="S45" s="5">
        <v>79797.149999999994</v>
      </c>
      <c r="T45" s="5">
        <v>23939.145</v>
      </c>
      <c r="U45" s="3" t="s">
        <v>60</v>
      </c>
      <c r="V45" s="3" t="s">
        <v>43</v>
      </c>
      <c r="W45" s="3" t="s">
        <v>44</v>
      </c>
    </row>
    <row r="46" spans="1:23" x14ac:dyDescent="0.25">
      <c r="A46" s="3" t="s">
        <v>127</v>
      </c>
      <c r="B46" s="3">
        <v>111</v>
      </c>
      <c r="C46" s="3" t="s">
        <v>84</v>
      </c>
      <c r="D46" s="3" t="s">
        <v>79</v>
      </c>
      <c r="E46" s="3" t="s">
        <v>37</v>
      </c>
      <c r="F46" s="3" t="s">
        <v>38</v>
      </c>
      <c r="G46" s="4">
        <v>45696</v>
      </c>
      <c r="H46" s="3">
        <v>27</v>
      </c>
      <c r="I46" s="3" t="s">
        <v>65</v>
      </c>
      <c r="J46" s="3" t="s">
        <v>66</v>
      </c>
      <c r="K46" s="3" t="s">
        <v>41</v>
      </c>
      <c r="L46" s="3" t="s">
        <v>67</v>
      </c>
      <c r="M46" s="4">
        <v>46115</v>
      </c>
      <c r="N46" s="3">
        <v>2</v>
      </c>
      <c r="O46" s="5">
        <v>8999</v>
      </c>
      <c r="P46" s="3">
        <v>8</v>
      </c>
      <c r="Q46" s="5">
        <v>17998</v>
      </c>
      <c r="R46" s="5">
        <v>1439.84</v>
      </c>
      <c r="S46" s="5">
        <v>16558.16</v>
      </c>
      <c r="T46" s="5">
        <v>1655.816</v>
      </c>
      <c r="U46" s="3" t="s">
        <v>68</v>
      </c>
      <c r="V46" s="3" t="s">
        <v>52</v>
      </c>
      <c r="W46" s="3" t="s">
        <v>53</v>
      </c>
    </row>
    <row r="47" spans="1:23" x14ac:dyDescent="0.25">
      <c r="A47" s="3" t="s">
        <v>128</v>
      </c>
      <c r="B47" s="3">
        <v>112</v>
      </c>
      <c r="C47" s="3" t="s">
        <v>86</v>
      </c>
      <c r="D47" s="3" t="s">
        <v>87</v>
      </c>
      <c r="E47" s="3" t="s">
        <v>88</v>
      </c>
      <c r="F47" s="3" t="s">
        <v>38</v>
      </c>
      <c r="G47" s="4">
        <v>45700</v>
      </c>
      <c r="H47" s="3">
        <v>28</v>
      </c>
      <c r="I47" s="3" t="s">
        <v>28</v>
      </c>
      <c r="J47" s="3" t="s">
        <v>29</v>
      </c>
      <c r="K47" s="3" t="s">
        <v>30</v>
      </c>
      <c r="L47" s="3" t="s">
        <v>31</v>
      </c>
      <c r="M47" s="4">
        <v>46117</v>
      </c>
      <c r="N47" s="3">
        <v>4</v>
      </c>
      <c r="O47" s="5">
        <v>69999</v>
      </c>
      <c r="P47" s="3">
        <v>12</v>
      </c>
      <c r="Q47" s="5">
        <v>279996</v>
      </c>
      <c r="R47" s="5">
        <v>33599.519999999997</v>
      </c>
      <c r="S47" s="5">
        <v>246396.48</v>
      </c>
      <c r="T47" s="5">
        <v>49279.296000000002</v>
      </c>
      <c r="U47" s="3" t="s">
        <v>32</v>
      </c>
      <c r="V47" s="3" t="s">
        <v>33</v>
      </c>
      <c r="W47" s="3" t="s">
        <v>61</v>
      </c>
    </row>
    <row r="48" spans="1:23" x14ac:dyDescent="0.25">
      <c r="A48" s="3" t="s">
        <v>129</v>
      </c>
      <c r="B48" s="3">
        <v>113</v>
      </c>
      <c r="C48" s="3" t="s">
        <v>90</v>
      </c>
      <c r="D48" s="3" t="s">
        <v>91</v>
      </c>
      <c r="E48" s="3" t="s">
        <v>26</v>
      </c>
      <c r="F48" s="3" t="s">
        <v>38</v>
      </c>
      <c r="G48" s="4">
        <v>45703</v>
      </c>
      <c r="H48" s="3">
        <v>20</v>
      </c>
      <c r="I48" s="3" t="s">
        <v>39</v>
      </c>
      <c r="J48" s="3" t="s">
        <v>40</v>
      </c>
      <c r="K48" s="3" t="s">
        <v>41</v>
      </c>
      <c r="L48" s="3" t="s">
        <v>31</v>
      </c>
      <c r="M48" s="4">
        <v>46119</v>
      </c>
      <c r="N48" s="3">
        <v>1</v>
      </c>
      <c r="O48" s="5">
        <v>30999</v>
      </c>
      <c r="P48" s="3">
        <v>0</v>
      </c>
      <c r="Q48" s="5">
        <v>30999</v>
      </c>
      <c r="R48" s="5">
        <v>0</v>
      </c>
      <c r="S48" s="5">
        <v>30999</v>
      </c>
      <c r="T48" s="5">
        <v>7749.75</v>
      </c>
      <c r="U48" s="3" t="s">
        <v>42</v>
      </c>
      <c r="V48" s="3" t="s">
        <v>43</v>
      </c>
      <c r="W48" s="3" t="s">
        <v>69</v>
      </c>
    </row>
    <row r="49" spans="1:23" x14ac:dyDescent="0.25">
      <c r="A49" s="3" t="s">
        <v>130</v>
      </c>
      <c r="B49" s="3">
        <v>114</v>
      </c>
      <c r="C49" s="3" t="s">
        <v>93</v>
      </c>
      <c r="D49" s="3" t="s">
        <v>91</v>
      </c>
      <c r="E49" s="3" t="s">
        <v>26</v>
      </c>
      <c r="F49" s="3" t="s">
        <v>38</v>
      </c>
      <c r="G49" s="4">
        <v>45706</v>
      </c>
      <c r="H49" s="3">
        <v>22</v>
      </c>
      <c r="I49" s="3" t="s">
        <v>48</v>
      </c>
      <c r="J49" s="3" t="s">
        <v>49</v>
      </c>
      <c r="K49" s="3" t="s">
        <v>50</v>
      </c>
      <c r="L49" s="3" t="s">
        <v>31</v>
      </c>
      <c r="M49" s="4">
        <v>46121</v>
      </c>
      <c r="N49" s="3">
        <v>2</v>
      </c>
      <c r="O49" s="5">
        <v>16999</v>
      </c>
      <c r="P49" s="3">
        <v>7</v>
      </c>
      <c r="Q49" s="5">
        <v>33998</v>
      </c>
      <c r="R49" s="5">
        <v>2379.86</v>
      </c>
      <c r="S49" s="5">
        <v>31618.14</v>
      </c>
      <c r="T49" s="5">
        <v>9485.4419999999991</v>
      </c>
      <c r="U49" s="3" t="s">
        <v>51</v>
      </c>
      <c r="V49" s="3" t="s">
        <v>52</v>
      </c>
      <c r="W49" s="3" t="s">
        <v>72</v>
      </c>
    </row>
    <row r="50" spans="1:23" x14ac:dyDescent="0.25">
      <c r="A50" s="3" t="s">
        <v>131</v>
      </c>
      <c r="B50" s="3">
        <v>115</v>
      </c>
      <c r="C50" s="3" t="s">
        <v>95</v>
      </c>
      <c r="D50" s="3" t="s">
        <v>82</v>
      </c>
      <c r="E50" s="3" t="s">
        <v>37</v>
      </c>
      <c r="F50" s="3" t="s">
        <v>27</v>
      </c>
      <c r="G50" s="4">
        <v>45708</v>
      </c>
      <c r="H50" s="3">
        <v>24</v>
      </c>
      <c r="I50" s="3" t="s">
        <v>57</v>
      </c>
      <c r="J50" s="3" t="s">
        <v>58</v>
      </c>
      <c r="K50" s="3" t="s">
        <v>59</v>
      </c>
      <c r="L50" s="3" t="s">
        <v>31</v>
      </c>
      <c r="M50" s="4">
        <v>46123</v>
      </c>
      <c r="N50" s="3">
        <v>5</v>
      </c>
      <c r="O50" s="5">
        <v>27999</v>
      </c>
      <c r="P50" s="3">
        <v>10</v>
      </c>
      <c r="Q50" s="5">
        <v>139995</v>
      </c>
      <c r="R50" s="5">
        <v>13999.5</v>
      </c>
      <c r="S50" s="5">
        <v>125995.5</v>
      </c>
      <c r="T50" s="5">
        <v>12599.55</v>
      </c>
      <c r="U50" s="3" t="s">
        <v>60</v>
      </c>
      <c r="V50" s="3" t="s">
        <v>33</v>
      </c>
      <c r="W50" s="3" t="s">
        <v>34</v>
      </c>
    </row>
    <row r="51" spans="1:23" x14ac:dyDescent="0.25">
      <c r="A51" s="3" t="s">
        <v>132</v>
      </c>
      <c r="B51" s="3">
        <v>116</v>
      </c>
      <c r="C51" s="3" t="s">
        <v>97</v>
      </c>
      <c r="D51" s="3" t="s">
        <v>82</v>
      </c>
      <c r="E51" s="3" t="s">
        <v>64</v>
      </c>
      <c r="F51" s="3" t="s">
        <v>27</v>
      </c>
      <c r="G51" s="4">
        <v>45710</v>
      </c>
      <c r="H51" s="3">
        <v>23</v>
      </c>
      <c r="I51" s="3" t="s">
        <v>65</v>
      </c>
      <c r="J51" s="3" t="s">
        <v>66</v>
      </c>
      <c r="K51" s="3" t="s">
        <v>41</v>
      </c>
      <c r="L51" s="3" t="s">
        <v>67</v>
      </c>
      <c r="M51" s="4">
        <v>46125</v>
      </c>
      <c r="N51" s="3">
        <v>1</v>
      </c>
      <c r="O51" s="5">
        <v>8999</v>
      </c>
      <c r="P51" s="3">
        <v>5</v>
      </c>
      <c r="Q51" s="5">
        <v>8999</v>
      </c>
      <c r="R51" s="5">
        <v>449.95</v>
      </c>
      <c r="S51" s="5">
        <v>8549.0499999999993</v>
      </c>
      <c r="T51" s="5">
        <v>1709.81</v>
      </c>
      <c r="U51" s="3" t="s">
        <v>68</v>
      </c>
      <c r="V51" s="3" t="s">
        <v>43</v>
      </c>
      <c r="W51" s="3" t="s">
        <v>44</v>
      </c>
    </row>
  </sheetData>
  <autoFilter ref="A1:W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7AB5D-4A01-44E6-A3FD-BBD3562FE306}">
  <dimension ref="A1:Z61"/>
  <sheetViews>
    <sheetView topLeftCell="A41" zoomScale="98" workbookViewId="0">
      <selection activeCell="D2" sqref="D2:D51"/>
    </sheetView>
  </sheetViews>
  <sheetFormatPr defaultRowHeight="15" x14ac:dyDescent="0.25"/>
  <cols>
    <col min="1" max="14" width="13.7109375" customWidth="1"/>
    <col min="15" max="16" width="33.5703125" customWidth="1"/>
    <col min="17" max="19" width="13.7109375" customWidth="1"/>
    <col min="20" max="20" width="22.7109375" customWidth="1"/>
    <col min="21" max="26" width="13.7109375" customWidth="1"/>
  </cols>
  <sheetData>
    <row r="1" spans="1:26" ht="17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3" t="s">
        <v>143</v>
      </c>
      <c r="P1" s="13" t="s">
        <v>144</v>
      </c>
      <c r="Q1" s="1" t="s">
        <v>14</v>
      </c>
      <c r="R1" s="1" t="s">
        <v>15</v>
      </c>
      <c r="S1" s="1" t="s">
        <v>16</v>
      </c>
      <c r="T1" s="13" t="s">
        <v>140</v>
      </c>
      <c r="U1" s="8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</row>
    <row r="2" spans="1:26" ht="17.100000000000001" customHeight="1" x14ac:dyDescent="0.25">
      <c r="A2" s="3" t="s">
        <v>23</v>
      </c>
      <c r="B2" s="3">
        <v>101</v>
      </c>
      <c r="C2" s="3" t="s">
        <v>24</v>
      </c>
      <c r="D2" s="3" t="s">
        <v>25</v>
      </c>
      <c r="E2" s="3" t="s">
        <v>26</v>
      </c>
      <c r="F2" s="3" t="s">
        <v>27</v>
      </c>
      <c r="G2" s="4">
        <v>45662</v>
      </c>
      <c r="H2" s="3">
        <v>25</v>
      </c>
      <c r="I2" s="3" t="s">
        <v>28</v>
      </c>
      <c r="J2" s="3" t="s">
        <v>29</v>
      </c>
      <c r="K2" s="3" t="s">
        <v>30</v>
      </c>
      <c r="L2" s="3" t="s">
        <v>31</v>
      </c>
      <c r="M2" s="4">
        <v>46027</v>
      </c>
      <c r="N2" s="3">
        <v>1</v>
      </c>
      <c r="O2" s="6">
        <f>MOD(N2,2)</f>
        <v>1</v>
      </c>
      <c r="P2" s="16" t="str" cm="1">
        <f t="array" ref="P2">_xlfn.IFS(N2&lt;=2,"Regular",N2&lt;=4,"Medium",N2&lt;=5,"Bulk")</f>
        <v>Regular</v>
      </c>
      <c r="Q2" s="5">
        <v>69999</v>
      </c>
      <c r="R2" s="3">
        <v>0</v>
      </c>
      <c r="S2" s="5">
        <v>69999</v>
      </c>
      <c r="T2" s="12">
        <f>V2/S2</f>
        <v>1</v>
      </c>
      <c r="U2" s="5">
        <v>0</v>
      </c>
      <c r="V2" s="5">
        <v>69999</v>
      </c>
      <c r="W2" s="5">
        <v>6999.9000000000005</v>
      </c>
      <c r="X2" s="3" t="s">
        <v>32</v>
      </c>
      <c r="Y2" s="3" t="s">
        <v>33</v>
      </c>
      <c r="Z2" s="3" t="s">
        <v>34</v>
      </c>
    </row>
    <row r="3" spans="1:26" ht="17.100000000000001" customHeight="1" x14ac:dyDescent="0.25">
      <c r="A3" s="3" t="s">
        <v>35</v>
      </c>
      <c r="B3" s="3">
        <v>102</v>
      </c>
      <c r="C3" s="3" t="s">
        <v>36</v>
      </c>
      <c r="D3" s="3" t="s">
        <v>25</v>
      </c>
      <c r="E3" s="3" t="s">
        <v>37</v>
      </c>
      <c r="F3" s="3" t="s">
        <v>38</v>
      </c>
      <c r="G3" s="4">
        <v>45665</v>
      </c>
      <c r="H3" s="3">
        <v>24</v>
      </c>
      <c r="I3" s="3" t="s">
        <v>39</v>
      </c>
      <c r="J3" s="3" t="s">
        <v>40</v>
      </c>
      <c r="K3" s="3" t="s">
        <v>41</v>
      </c>
      <c r="L3" s="3" t="s">
        <v>31</v>
      </c>
      <c r="M3" s="4">
        <v>46029</v>
      </c>
      <c r="N3" s="3">
        <v>2</v>
      </c>
      <c r="O3" s="6">
        <f t="shared" ref="O3:O51" si="0">MOD(N3,2)</f>
        <v>0</v>
      </c>
      <c r="P3" s="16" t="str" cm="1">
        <f t="array" ref="P3">_xlfn.IFS(N3&lt;=2,"Regular",N3&lt;=4,"Medium",N3&lt;=5,"Bulk")</f>
        <v>Regular</v>
      </c>
      <c r="Q3" s="5">
        <v>30999</v>
      </c>
      <c r="R3" s="3">
        <v>5</v>
      </c>
      <c r="S3" s="5">
        <v>61998</v>
      </c>
      <c r="T3" s="12">
        <f t="shared" ref="T3:T51" si="1">V3/S3</f>
        <v>0.95</v>
      </c>
      <c r="U3" s="5">
        <v>3099.9</v>
      </c>
      <c r="V3" s="5">
        <v>58898.1</v>
      </c>
      <c r="W3" s="5">
        <v>11779.62</v>
      </c>
      <c r="X3" s="3" t="s">
        <v>42</v>
      </c>
      <c r="Y3" s="3" t="s">
        <v>43</v>
      </c>
      <c r="Z3" s="3" t="s">
        <v>44</v>
      </c>
    </row>
    <row r="4" spans="1:26" ht="17.100000000000001" customHeight="1" x14ac:dyDescent="0.25">
      <c r="A4" s="3" t="s">
        <v>45</v>
      </c>
      <c r="B4" s="3">
        <v>103</v>
      </c>
      <c r="C4" s="3" t="s">
        <v>46</v>
      </c>
      <c r="D4" s="3" t="s">
        <v>47</v>
      </c>
      <c r="E4" s="3" t="s">
        <v>26</v>
      </c>
      <c r="F4" s="3" t="s">
        <v>38</v>
      </c>
      <c r="G4" s="4">
        <v>45669</v>
      </c>
      <c r="H4" s="3">
        <v>23</v>
      </c>
      <c r="I4" s="3" t="s">
        <v>48</v>
      </c>
      <c r="J4" s="3" t="s">
        <v>49</v>
      </c>
      <c r="K4" s="3" t="s">
        <v>50</v>
      </c>
      <c r="L4" s="3" t="s">
        <v>31</v>
      </c>
      <c r="M4" s="4">
        <v>46031</v>
      </c>
      <c r="N4" s="3">
        <v>1</v>
      </c>
      <c r="O4" s="6">
        <f t="shared" si="0"/>
        <v>1</v>
      </c>
      <c r="P4" s="16" t="str" cm="1">
        <f t="array" ref="P4">_xlfn.IFS(N4&lt;=2,"Regular",N4&lt;=4,"Medium",N4&lt;=5,"Bulk")</f>
        <v>Regular</v>
      </c>
      <c r="Q4" s="5">
        <v>16999</v>
      </c>
      <c r="R4" s="3">
        <v>10</v>
      </c>
      <c r="S4" s="5">
        <v>16999</v>
      </c>
      <c r="T4" s="12">
        <f t="shared" si="1"/>
        <v>0.9</v>
      </c>
      <c r="U4" s="5">
        <v>1699.9</v>
      </c>
      <c r="V4" s="5">
        <v>15299.1</v>
      </c>
      <c r="W4" s="5">
        <v>3824.7750000000001</v>
      </c>
      <c r="X4" s="3" t="s">
        <v>51</v>
      </c>
      <c r="Y4" s="3" t="s">
        <v>52</v>
      </c>
      <c r="Z4" s="3" t="s">
        <v>53</v>
      </c>
    </row>
    <row r="5" spans="1:26" ht="17.100000000000001" customHeight="1" x14ac:dyDescent="0.25">
      <c r="A5" s="3" t="s">
        <v>54</v>
      </c>
      <c r="B5" s="3">
        <v>104</v>
      </c>
      <c r="C5" s="3" t="s">
        <v>55</v>
      </c>
      <c r="D5" s="3" t="s">
        <v>56</v>
      </c>
      <c r="E5" s="3" t="s">
        <v>26</v>
      </c>
      <c r="F5" s="3" t="s">
        <v>38</v>
      </c>
      <c r="G5" s="4">
        <v>45672</v>
      </c>
      <c r="H5" s="3">
        <v>26</v>
      </c>
      <c r="I5" s="3" t="s">
        <v>57</v>
      </c>
      <c r="J5" s="3" t="s">
        <v>58</v>
      </c>
      <c r="K5" s="3" t="s">
        <v>59</v>
      </c>
      <c r="L5" s="3" t="s">
        <v>31</v>
      </c>
      <c r="M5" s="4">
        <v>46033</v>
      </c>
      <c r="N5" s="3">
        <v>3</v>
      </c>
      <c r="O5" s="6">
        <f t="shared" si="0"/>
        <v>1</v>
      </c>
      <c r="P5" s="16" t="str" cm="1">
        <f t="array" ref="P5">_xlfn.IFS(N5&lt;=2,"Regular",N5&lt;=4,"Medium",N5&lt;=5,"Bulk")</f>
        <v>Medium</v>
      </c>
      <c r="Q5" s="5">
        <v>27999</v>
      </c>
      <c r="R5" s="3">
        <v>5</v>
      </c>
      <c r="S5" s="5">
        <v>83997</v>
      </c>
      <c r="T5" s="12">
        <f t="shared" si="1"/>
        <v>0.95</v>
      </c>
      <c r="U5" s="5">
        <v>4199.8500000000004</v>
      </c>
      <c r="V5" s="5">
        <v>79797.149999999994</v>
      </c>
      <c r="W5" s="5">
        <v>23939.145</v>
      </c>
      <c r="X5" s="3" t="s">
        <v>60</v>
      </c>
      <c r="Y5" s="3" t="s">
        <v>33</v>
      </c>
      <c r="Z5" s="3" t="s">
        <v>61</v>
      </c>
    </row>
    <row r="6" spans="1:26" ht="17.100000000000001" customHeight="1" x14ac:dyDescent="0.25">
      <c r="A6" s="3" t="s">
        <v>62</v>
      </c>
      <c r="B6" s="3">
        <v>105</v>
      </c>
      <c r="C6" s="3" t="s">
        <v>63</v>
      </c>
      <c r="D6" s="3" t="s">
        <v>56</v>
      </c>
      <c r="E6" s="3" t="s">
        <v>64</v>
      </c>
      <c r="F6" s="3" t="s">
        <v>38</v>
      </c>
      <c r="G6" s="4">
        <v>45677</v>
      </c>
      <c r="H6" s="3">
        <v>22</v>
      </c>
      <c r="I6" s="3" t="s">
        <v>65</v>
      </c>
      <c r="J6" s="3" t="s">
        <v>66</v>
      </c>
      <c r="K6" s="3" t="s">
        <v>41</v>
      </c>
      <c r="L6" s="3" t="s">
        <v>67</v>
      </c>
      <c r="M6" s="4">
        <v>46035</v>
      </c>
      <c r="N6" s="3">
        <v>2</v>
      </c>
      <c r="O6" s="6">
        <f t="shared" si="0"/>
        <v>0</v>
      </c>
      <c r="P6" s="16" t="str" cm="1">
        <f t="array" ref="P6">_xlfn.IFS(N6&lt;=2,"Regular",N6&lt;=4,"Medium",N6&lt;=5,"Bulk")</f>
        <v>Regular</v>
      </c>
      <c r="Q6" s="5">
        <v>8999</v>
      </c>
      <c r="R6" s="3">
        <v>8</v>
      </c>
      <c r="S6" s="5">
        <v>17998</v>
      </c>
      <c r="T6" s="12">
        <f t="shared" si="1"/>
        <v>0.92</v>
      </c>
      <c r="U6" s="5">
        <v>1439.84</v>
      </c>
      <c r="V6" s="5">
        <v>16558.16</v>
      </c>
      <c r="W6" s="5">
        <v>1655.816</v>
      </c>
      <c r="X6" s="3" t="s">
        <v>68</v>
      </c>
      <c r="Y6" s="3" t="s">
        <v>43</v>
      </c>
      <c r="Z6" s="3" t="s">
        <v>69</v>
      </c>
    </row>
    <row r="7" spans="1:26" ht="17.100000000000001" customHeight="1" x14ac:dyDescent="0.25">
      <c r="A7" s="3" t="s">
        <v>70</v>
      </c>
      <c r="B7" s="3">
        <v>106</v>
      </c>
      <c r="C7" s="3" t="s">
        <v>71</v>
      </c>
      <c r="D7" s="3" t="s">
        <v>56</v>
      </c>
      <c r="E7" s="3" t="s">
        <v>26</v>
      </c>
      <c r="F7" s="3" t="s">
        <v>38</v>
      </c>
      <c r="G7" s="4">
        <v>45679</v>
      </c>
      <c r="H7" s="3">
        <v>24</v>
      </c>
      <c r="I7" s="3" t="s">
        <v>28</v>
      </c>
      <c r="J7" s="3" t="s">
        <v>29</v>
      </c>
      <c r="K7" s="3" t="s">
        <v>30</v>
      </c>
      <c r="L7" s="3" t="s">
        <v>31</v>
      </c>
      <c r="M7" s="4">
        <v>46037</v>
      </c>
      <c r="N7" s="3">
        <v>4</v>
      </c>
      <c r="O7" s="6">
        <f t="shared" si="0"/>
        <v>0</v>
      </c>
      <c r="P7" s="16" t="str" cm="1">
        <f t="array" ref="P7">_xlfn.IFS(N7&lt;=2,"Regular",N7&lt;=4,"Medium",N7&lt;=5,"Bulk")</f>
        <v>Medium</v>
      </c>
      <c r="Q7" s="5">
        <v>69999</v>
      </c>
      <c r="R7" s="3">
        <v>12</v>
      </c>
      <c r="S7" s="5">
        <v>279996</v>
      </c>
      <c r="T7" s="12">
        <f t="shared" si="1"/>
        <v>0.88</v>
      </c>
      <c r="U7" s="5">
        <v>33599.519999999997</v>
      </c>
      <c r="V7" s="5">
        <v>246396.48</v>
      </c>
      <c r="W7" s="5">
        <v>49279.296000000002</v>
      </c>
      <c r="X7" s="3" t="s">
        <v>32</v>
      </c>
      <c r="Y7" s="3" t="s">
        <v>52</v>
      </c>
      <c r="Z7" s="3" t="s">
        <v>72</v>
      </c>
    </row>
    <row r="8" spans="1:26" ht="17.100000000000001" customHeight="1" x14ac:dyDescent="0.25">
      <c r="A8" s="3" t="s">
        <v>73</v>
      </c>
      <c r="B8" s="3">
        <v>107</v>
      </c>
      <c r="C8" s="3" t="s">
        <v>74</v>
      </c>
      <c r="D8" s="3" t="s">
        <v>25</v>
      </c>
      <c r="E8" s="3" t="s">
        <v>26</v>
      </c>
      <c r="F8" s="3" t="s">
        <v>27</v>
      </c>
      <c r="G8" s="4">
        <v>45682</v>
      </c>
      <c r="H8" s="3">
        <v>27</v>
      </c>
      <c r="I8" s="3" t="s">
        <v>39</v>
      </c>
      <c r="J8" s="3" t="s">
        <v>40</v>
      </c>
      <c r="K8" s="3" t="s">
        <v>41</v>
      </c>
      <c r="L8" s="3" t="s">
        <v>31</v>
      </c>
      <c r="M8" s="4">
        <v>46039</v>
      </c>
      <c r="N8" s="3">
        <v>1</v>
      </c>
      <c r="O8" s="6">
        <f t="shared" si="0"/>
        <v>1</v>
      </c>
      <c r="P8" s="16" t="str" cm="1">
        <f t="array" ref="P8">_xlfn.IFS(N8&lt;=2,"Regular",N8&lt;=4,"Medium",N8&lt;=5,"Bulk")</f>
        <v>Regular</v>
      </c>
      <c r="Q8" s="5">
        <v>30999</v>
      </c>
      <c r="R8" s="3">
        <v>0</v>
      </c>
      <c r="S8" s="5">
        <v>30999</v>
      </c>
      <c r="T8" s="12">
        <f t="shared" si="1"/>
        <v>1</v>
      </c>
      <c r="U8" s="5">
        <v>0</v>
      </c>
      <c r="V8" s="5">
        <v>30999</v>
      </c>
      <c r="W8" s="5">
        <v>7749.75</v>
      </c>
      <c r="X8" s="3" t="s">
        <v>42</v>
      </c>
      <c r="Y8" s="3" t="s">
        <v>33</v>
      </c>
      <c r="Z8" s="3" t="s">
        <v>34</v>
      </c>
    </row>
    <row r="9" spans="1:26" ht="17.100000000000001" customHeight="1" x14ac:dyDescent="0.25">
      <c r="A9" s="3" t="s">
        <v>75</v>
      </c>
      <c r="B9" s="3">
        <v>108</v>
      </c>
      <c r="C9" s="3" t="s">
        <v>76</v>
      </c>
      <c r="D9" s="3" t="s">
        <v>47</v>
      </c>
      <c r="E9" s="3" t="s">
        <v>37</v>
      </c>
      <c r="F9" s="3" t="s">
        <v>27</v>
      </c>
      <c r="G9" s="4">
        <v>45685</v>
      </c>
      <c r="H9" s="3">
        <v>21</v>
      </c>
      <c r="I9" s="3" t="s">
        <v>48</v>
      </c>
      <c r="J9" s="3" t="s">
        <v>49</v>
      </c>
      <c r="K9" s="3" t="s">
        <v>50</v>
      </c>
      <c r="L9" s="3" t="s">
        <v>31</v>
      </c>
      <c r="M9" s="4">
        <v>46041</v>
      </c>
      <c r="N9" s="3">
        <v>2</v>
      </c>
      <c r="O9" s="6">
        <f t="shared" si="0"/>
        <v>0</v>
      </c>
      <c r="P9" s="16" t="str" cm="1">
        <f t="array" ref="P9">_xlfn.IFS(N9&lt;=2,"Regular",N9&lt;=4,"Medium",N9&lt;=5,"Bulk")</f>
        <v>Regular</v>
      </c>
      <c r="Q9" s="5">
        <v>16999</v>
      </c>
      <c r="R9" s="3">
        <v>7</v>
      </c>
      <c r="S9" s="5">
        <v>33998</v>
      </c>
      <c r="T9" s="12">
        <f t="shared" si="1"/>
        <v>0.92999999999999994</v>
      </c>
      <c r="U9" s="5">
        <v>2379.86</v>
      </c>
      <c r="V9" s="5">
        <v>31618.14</v>
      </c>
      <c r="W9" s="5">
        <v>9485.4419999999991</v>
      </c>
      <c r="X9" s="3" t="s">
        <v>51</v>
      </c>
      <c r="Y9" s="3" t="s">
        <v>43</v>
      </c>
      <c r="Z9" s="3" t="s">
        <v>44</v>
      </c>
    </row>
    <row r="10" spans="1:26" ht="17.100000000000001" customHeight="1" x14ac:dyDescent="0.25">
      <c r="A10" s="3" t="s">
        <v>77</v>
      </c>
      <c r="B10" s="3">
        <v>109</v>
      </c>
      <c r="C10" s="3" t="s">
        <v>78</v>
      </c>
      <c r="D10" s="3" t="s">
        <v>79</v>
      </c>
      <c r="E10" s="3" t="s">
        <v>64</v>
      </c>
      <c r="F10" s="3" t="s">
        <v>27</v>
      </c>
      <c r="G10" s="4">
        <v>45690</v>
      </c>
      <c r="H10" s="3">
        <v>26</v>
      </c>
      <c r="I10" s="3" t="s">
        <v>57</v>
      </c>
      <c r="J10" s="3" t="s">
        <v>58</v>
      </c>
      <c r="K10" s="3" t="s">
        <v>59</v>
      </c>
      <c r="L10" s="3" t="s">
        <v>31</v>
      </c>
      <c r="M10" s="4">
        <v>46043</v>
      </c>
      <c r="N10" s="3">
        <v>5</v>
      </c>
      <c r="O10" s="6">
        <f t="shared" si="0"/>
        <v>1</v>
      </c>
      <c r="P10" s="16" t="str" cm="1">
        <f t="array" ref="P10">_xlfn.IFS(N10&lt;=2,"Regular",N10&lt;=4,"Medium",N10&lt;=5,"Bulk")</f>
        <v>Bulk</v>
      </c>
      <c r="Q10" s="5">
        <v>27999</v>
      </c>
      <c r="R10" s="3">
        <v>10</v>
      </c>
      <c r="S10" s="5">
        <v>139995</v>
      </c>
      <c r="T10" s="12">
        <f t="shared" si="1"/>
        <v>0.9</v>
      </c>
      <c r="U10" s="5">
        <v>13999.5</v>
      </c>
      <c r="V10" s="5">
        <v>125995.5</v>
      </c>
      <c r="W10" s="5">
        <v>12599.55</v>
      </c>
      <c r="X10" s="3" t="s">
        <v>60</v>
      </c>
      <c r="Y10" s="3" t="s">
        <v>52</v>
      </c>
      <c r="Z10" s="3" t="s">
        <v>53</v>
      </c>
    </row>
    <row r="11" spans="1:26" ht="17.100000000000001" customHeight="1" x14ac:dyDescent="0.25">
      <c r="A11" s="3" t="s">
        <v>80</v>
      </c>
      <c r="B11" s="3">
        <v>110</v>
      </c>
      <c r="C11" s="3" t="s">
        <v>81</v>
      </c>
      <c r="D11" s="3" t="s">
        <v>82</v>
      </c>
      <c r="E11" s="3" t="s">
        <v>26</v>
      </c>
      <c r="F11" s="3" t="s">
        <v>38</v>
      </c>
      <c r="G11" s="4">
        <v>45693</v>
      </c>
      <c r="H11" s="3">
        <v>25</v>
      </c>
      <c r="I11" s="3" t="s">
        <v>65</v>
      </c>
      <c r="J11" s="3" t="s">
        <v>66</v>
      </c>
      <c r="K11" s="3" t="s">
        <v>41</v>
      </c>
      <c r="L11" s="3" t="s">
        <v>67</v>
      </c>
      <c r="M11" s="4">
        <v>46045</v>
      </c>
      <c r="N11" s="3">
        <v>1</v>
      </c>
      <c r="O11" s="6">
        <f t="shared" si="0"/>
        <v>1</v>
      </c>
      <c r="P11" s="16" t="str" cm="1">
        <f t="array" ref="P11">_xlfn.IFS(N11&lt;=2,"Regular",N11&lt;=4,"Medium",N11&lt;=5,"Bulk")</f>
        <v>Regular</v>
      </c>
      <c r="Q11" s="5">
        <v>8999</v>
      </c>
      <c r="R11" s="3">
        <v>5</v>
      </c>
      <c r="S11" s="5">
        <v>8999</v>
      </c>
      <c r="T11" s="12">
        <f t="shared" si="1"/>
        <v>0.95</v>
      </c>
      <c r="U11" s="5">
        <v>449.95</v>
      </c>
      <c r="V11" s="5">
        <v>8549.0499999999993</v>
      </c>
      <c r="W11" s="5">
        <v>1709.81</v>
      </c>
      <c r="X11" s="3" t="s">
        <v>68</v>
      </c>
      <c r="Y11" s="3" t="s">
        <v>33</v>
      </c>
      <c r="Z11" s="3" t="s">
        <v>61</v>
      </c>
    </row>
    <row r="12" spans="1:26" ht="17.100000000000001" customHeight="1" x14ac:dyDescent="0.25">
      <c r="A12" s="3" t="s">
        <v>83</v>
      </c>
      <c r="B12" s="3">
        <v>111</v>
      </c>
      <c r="C12" s="3" t="s">
        <v>84</v>
      </c>
      <c r="D12" s="3" t="s">
        <v>79</v>
      </c>
      <c r="E12" s="3" t="s">
        <v>37</v>
      </c>
      <c r="F12" s="3" t="s">
        <v>38</v>
      </c>
      <c r="G12" s="4">
        <v>45696</v>
      </c>
      <c r="H12" s="3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4">
        <v>46047</v>
      </c>
      <c r="N12" s="3">
        <v>1</v>
      </c>
      <c r="O12" s="6">
        <f t="shared" si="0"/>
        <v>1</v>
      </c>
      <c r="P12" s="16" t="str" cm="1">
        <f t="array" ref="P12">_xlfn.IFS(N12&lt;=2,"Regular",N12&lt;=4,"Medium",N12&lt;=5,"Bulk")</f>
        <v>Regular</v>
      </c>
      <c r="Q12" s="5">
        <v>69999</v>
      </c>
      <c r="R12" s="3">
        <v>0</v>
      </c>
      <c r="S12" s="5">
        <v>69999</v>
      </c>
      <c r="T12" s="12">
        <f t="shared" si="1"/>
        <v>1</v>
      </c>
      <c r="U12" s="5">
        <v>0</v>
      </c>
      <c r="V12" s="5">
        <v>69999</v>
      </c>
      <c r="W12" s="5">
        <v>17499.75</v>
      </c>
      <c r="X12" s="3" t="s">
        <v>32</v>
      </c>
      <c r="Y12" s="3" t="s">
        <v>43</v>
      </c>
      <c r="Z12" s="3" t="s">
        <v>69</v>
      </c>
    </row>
    <row r="13" spans="1:26" ht="17.100000000000001" customHeight="1" x14ac:dyDescent="0.25">
      <c r="A13" s="3" t="s">
        <v>85</v>
      </c>
      <c r="B13" s="3">
        <v>112</v>
      </c>
      <c r="C13" s="3" t="s">
        <v>86</v>
      </c>
      <c r="D13" s="3" t="s">
        <v>87</v>
      </c>
      <c r="E13" s="3" t="s">
        <v>88</v>
      </c>
      <c r="F13" s="3" t="s">
        <v>38</v>
      </c>
      <c r="G13" s="4">
        <v>45700</v>
      </c>
      <c r="H13" s="3">
        <v>28</v>
      </c>
      <c r="I13" s="3" t="s">
        <v>39</v>
      </c>
      <c r="J13" s="3" t="s">
        <v>40</v>
      </c>
      <c r="K13" s="3" t="s">
        <v>41</v>
      </c>
      <c r="L13" s="3" t="s">
        <v>31</v>
      </c>
      <c r="M13" s="4">
        <v>46049</v>
      </c>
      <c r="N13" s="3">
        <v>2</v>
      </c>
      <c r="O13" s="6">
        <f t="shared" si="0"/>
        <v>0</v>
      </c>
      <c r="P13" s="16" t="str" cm="1">
        <f t="array" ref="P13">_xlfn.IFS(N13&lt;=2,"Regular",N13&lt;=4,"Medium",N13&lt;=5,"Bulk")</f>
        <v>Regular</v>
      </c>
      <c r="Q13" s="5">
        <v>30999</v>
      </c>
      <c r="R13" s="3">
        <v>5</v>
      </c>
      <c r="S13" s="5">
        <v>61998</v>
      </c>
      <c r="T13" s="12">
        <f t="shared" si="1"/>
        <v>0.95</v>
      </c>
      <c r="U13" s="5">
        <v>3099.9</v>
      </c>
      <c r="V13" s="5">
        <v>58898.1</v>
      </c>
      <c r="W13" s="5">
        <v>17669.43</v>
      </c>
      <c r="X13" s="3" t="s">
        <v>42</v>
      </c>
      <c r="Y13" s="3" t="s">
        <v>52</v>
      </c>
      <c r="Z13" s="3" t="s">
        <v>72</v>
      </c>
    </row>
    <row r="14" spans="1:26" ht="17.100000000000001" customHeight="1" x14ac:dyDescent="0.25">
      <c r="A14" s="3" t="s">
        <v>89</v>
      </c>
      <c r="B14" s="3">
        <v>113</v>
      </c>
      <c r="C14" s="3" t="s">
        <v>90</v>
      </c>
      <c r="D14" s="3" t="s">
        <v>91</v>
      </c>
      <c r="E14" s="3" t="s">
        <v>26</v>
      </c>
      <c r="F14" s="3" t="s">
        <v>38</v>
      </c>
      <c r="G14" s="4">
        <v>45703</v>
      </c>
      <c r="H14" s="3">
        <v>20</v>
      </c>
      <c r="I14" s="3" t="s">
        <v>48</v>
      </c>
      <c r="J14" s="3" t="s">
        <v>49</v>
      </c>
      <c r="K14" s="3" t="s">
        <v>50</v>
      </c>
      <c r="L14" s="3" t="s">
        <v>31</v>
      </c>
      <c r="M14" s="4">
        <v>46051</v>
      </c>
      <c r="N14" s="3">
        <v>1</v>
      </c>
      <c r="O14" s="6">
        <f t="shared" si="0"/>
        <v>1</v>
      </c>
      <c r="P14" s="16" t="str" cm="1">
        <f t="array" ref="P14">_xlfn.IFS(N14&lt;=2,"Regular",N14&lt;=4,"Medium",N14&lt;=5,"Bulk")</f>
        <v>Regular</v>
      </c>
      <c r="Q14" s="5">
        <v>16999</v>
      </c>
      <c r="R14" s="3">
        <v>10</v>
      </c>
      <c r="S14" s="5">
        <v>16999</v>
      </c>
      <c r="T14" s="12">
        <f t="shared" si="1"/>
        <v>0.9</v>
      </c>
      <c r="U14" s="5">
        <v>1699.9</v>
      </c>
      <c r="V14" s="5">
        <v>15299.1</v>
      </c>
      <c r="W14" s="5">
        <v>1529.91</v>
      </c>
      <c r="X14" s="3" t="s">
        <v>51</v>
      </c>
      <c r="Y14" s="3" t="s">
        <v>33</v>
      </c>
      <c r="Z14" s="3" t="s">
        <v>34</v>
      </c>
    </row>
    <row r="15" spans="1:26" ht="17.100000000000001" customHeight="1" x14ac:dyDescent="0.25">
      <c r="A15" s="3" t="s">
        <v>92</v>
      </c>
      <c r="B15" s="3">
        <v>114</v>
      </c>
      <c r="C15" s="3" t="s">
        <v>93</v>
      </c>
      <c r="D15" s="3" t="s">
        <v>91</v>
      </c>
      <c r="E15" s="3" t="s">
        <v>26</v>
      </c>
      <c r="F15" s="3" t="s">
        <v>38</v>
      </c>
      <c r="G15" s="4">
        <v>45706</v>
      </c>
      <c r="H15" s="3">
        <v>22</v>
      </c>
      <c r="I15" s="3" t="s">
        <v>57</v>
      </c>
      <c r="J15" s="3" t="s">
        <v>58</v>
      </c>
      <c r="K15" s="3" t="s">
        <v>59</v>
      </c>
      <c r="L15" s="3" t="s">
        <v>31</v>
      </c>
      <c r="M15" s="4">
        <v>46053</v>
      </c>
      <c r="N15" s="3">
        <v>3</v>
      </c>
      <c r="O15" s="6">
        <f t="shared" si="0"/>
        <v>1</v>
      </c>
      <c r="P15" s="16" t="str" cm="1">
        <f t="array" ref="P15">_xlfn.IFS(N15&lt;=2,"Regular",N15&lt;=4,"Medium",N15&lt;=5,"Bulk")</f>
        <v>Medium</v>
      </c>
      <c r="Q15" s="5">
        <v>27999</v>
      </c>
      <c r="R15" s="3">
        <v>5</v>
      </c>
      <c r="S15" s="5">
        <v>83997</v>
      </c>
      <c r="T15" s="12">
        <f t="shared" si="1"/>
        <v>0.95</v>
      </c>
      <c r="U15" s="5">
        <v>4199.8500000000004</v>
      </c>
      <c r="V15" s="5">
        <v>79797.149999999994</v>
      </c>
      <c r="W15" s="5">
        <v>15959.43</v>
      </c>
      <c r="X15" s="3" t="s">
        <v>60</v>
      </c>
      <c r="Y15" s="3" t="s">
        <v>43</v>
      </c>
      <c r="Z15" s="3" t="s">
        <v>44</v>
      </c>
    </row>
    <row r="16" spans="1:26" ht="17.100000000000001" customHeight="1" x14ac:dyDescent="0.25">
      <c r="A16" s="3" t="s">
        <v>94</v>
      </c>
      <c r="B16" s="3">
        <v>115</v>
      </c>
      <c r="C16" s="3" t="s">
        <v>95</v>
      </c>
      <c r="D16" s="3" t="s">
        <v>82</v>
      </c>
      <c r="E16" s="3" t="s">
        <v>37</v>
      </c>
      <c r="F16" s="3" t="s">
        <v>27</v>
      </c>
      <c r="G16" s="4">
        <v>45708</v>
      </c>
      <c r="H16" s="3">
        <v>24</v>
      </c>
      <c r="I16" s="3" t="s">
        <v>65</v>
      </c>
      <c r="J16" s="3" t="s">
        <v>66</v>
      </c>
      <c r="K16" s="3" t="s">
        <v>41</v>
      </c>
      <c r="L16" s="3" t="s">
        <v>67</v>
      </c>
      <c r="M16" s="4">
        <v>46055</v>
      </c>
      <c r="N16" s="3">
        <v>2</v>
      </c>
      <c r="O16" s="6">
        <f t="shared" si="0"/>
        <v>0</v>
      </c>
      <c r="P16" s="16" t="str" cm="1">
        <f t="array" ref="P16">_xlfn.IFS(N16&lt;=2,"Regular",N16&lt;=4,"Medium",N16&lt;=5,"Bulk")</f>
        <v>Regular</v>
      </c>
      <c r="Q16" s="5">
        <v>8999</v>
      </c>
      <c r="R16" s="3">
        <v>8</v>
      </c>
      <c r="S16" s="5">
        <v>17998</v>
      </c>
      <c r="T16" s="12">
        <f t="shared" si="1"/>
        <v>0.92</v>
      </c>
      <c r="U16" s="5">
        <v>1439.84</v>
      </c>
      <c r="V16" s="5">
        <v>16558.16</v>
      </c>
      <c r="W16" s="5">
        <v>4139.54</v>
      </c>
      <c r="X16" s="3" t="s">
        <v>68</v>
      </c>
      <c r="Y16" s="3" t="s">
        <v>52</v>
      </c>
      <c r="Z16" s="3" t="s">
        <v>53</v>
      </c>
    </row>
    <row r="17" spans="1:26" ht="17.100000000000001" customHeight="1" x14ac:dyDescent="0.25">
      <c r="A17" s="3" t="s">
        <v>96</v>
      </c>
      <c r="B17" s="3">
        <v>116</v>
      </c>
      <c r="C17" s="3" t="s">
        <v>97</v>
      </c>
      <c r="D17" s="3" t="s">
        <v>82</v>
      </c>
      <c r="E17" s="3" t="s">
        <v>64</v>
      </c>
      <c r="F17" s="3" t="s">
        <v>27</v>
      </c>
      <c r="G17" s="4">
        <v>45710</v>
      </c>
      <c r="H17" s="3">
        <v>23</v>
      </c>
      <c r="I17" s="3" t="s">
        <v>28</v>
      </c>
      <c r="J17" s="3" t="s">
        <v>29</v>
      </c>
      <c r="K17" s="3" t="s">
        <v>30</v>
      </c>
      <c r="L17" s="3" t="s">
        <v>31</v>
      </c>
      <c r="M17" s="4">
        <v>46057</v>
      </c>
      <c r="N17" s="3">
        <v>4</v>
      </c>
      <c r="O17" s="6">
        <f t="shared" si="0"/>
        <v>0</v>
      </c>
      <c r="P17" s="16" t="str" cm="1">
        <f t="array" ref="P17">_xlfn.IFS(N17&lt;=2,"Regular",N17&lt;=4,"Medium",N17&lt;=5,"Bulk")</f>
        <v>Medium</v>
      </c>
      <c r="Q17" s="5">
        <v>69999</v>
      </c>
      <c r="R17" s="3">
        <v>12</v>
      </c>
      <c r="S17" s="5">
        <v>279996</v>
      </c>
      <c r="T17" s="12">
        <f t="shared" si="1"/>
        <v>0.88</v>
      </c>
      <c r="U17" s="5">
        <v>33599.519999999997</v>
      </c>
      <c r="V17" s="5">
        <v>246396.48</v>
      </c>
      <c r="W17" s="5">
        <v>73918.944000000003</v>
      </c>
      <c r="X17" s="3" t="s">
        <v>32</v>
      </c>
      <c r="Y17" s="3" t="s">
        <v>33</v>
      </c>
      <c r="Z17" s="3" t="s">
        <v>61</v>
      </c>
    </row>
    <row r="18" spans="1:26" ht="17.100000000000001" customHeight="1" x14ac:dyDescent="0.25">
      <c r="A18" s="3" t="s">
        <v>98</v>
      </c>
      <c r="B18" s="3">
        <v>117</v>
      </c>
      <c r="C18" s="3" t="s">
        <v>99</v>
      </c>
      <c r="D18" s="3" t="s">
        <v>47</v>
      </c>
      <c r="E18" s="3" t="s">
        <v>26</v>
      </c>
      <c r="F18" s="3" t="s">
        <v>38</v>
      </c>
      <c r="G18" s="4">
        <v>45713</v>
      </c>
      <c r="H18" s="3">
        <v>26</v>
      </c>
      <c r="I18" s="3" t="s">
        <v>39</v>
      </c>
      <c r="J18" s="3" t="s">
        <v>40</v>
      </c>
      <c r="K18" s="3" t="s">
        <v>41</v>
      </c>
      <c r="L18" s="3" t="s">
        <v>31</v>
      </c>
      <c r="M18" s="4">
        <v>46059</v>
      </c>
      <c r="N18" s="3">
        <v>1</v>
      </c>
      <c r="O18" s="6">
        <f t="shared" si="0"/>
        <v>1</v>
      </c>
      <c r="P18" s="16" t="str" cm="1">
        <f t="array" ref="P18">_xlfn.IFS(N18&lt;=2,"Regular",N18&lt;=4,"Medium",N18&lt;=5,"Bulk")</f>
        <v>Regular</v>
      </c>
      <c r="Q18" s="5">
        <v>30999</v>
      </c>
      <c r="R18" s="3">
        <v>0</v>
      </c>
      <c r="S18" s="5">
        <v>30999</v>
      </c>
      <c r="T18" s="12">
        <f t="shared" si="1"/>
        <v>1</v>
      </c>
      <c r="U18" s="5">
        <v>0</v>
      </c>
      <c r="V18" s="5">
        <v>30999</v>
      </c>
      <c r="W18" s="5">
        <v>3099.9</v>
      </c>
      <c r="X18" s="3" t="s">
        <v>42</v>
      </c>
      <c r="Y18" s="3" t="s">
        <v>43</v>
      </c>
      <c r="Z18" s="3" t="s">
        <v>69</v>
      </c>
    </row>
    <row r="19" spans="1:26" ht="17.100000000000001" customHeight="1" x14ac:dyDescent="0.25">
      <c r="A19" s="3" t="s">
        <v>100</v>
      </c>
      <c r="B19" s="3">
        <v>101</v>
      </c>
      <c r="C19" s="3" t="s">
        <v>24</v>
      </c>
      <c r="D19" s="3" t="s">
        <v>25</v>
      </c>
      <c r="E19" s="3" t="s">
        <v>26</v>
      </c>
      <c r="F19" s="3" t="s">
        <v>27</v>
      </c>
      <c r="G19" s="4">
        <v>45662</v>
      </c>
      <c r="H19" s="3">
        <v>25</v>
      </c>
      <c r="I19" s="3" t="s">
        <v>48</v>
      </c>
      <c r="J19" s="3" t="s">
        <v>49</v>
      </c>
      <c r="K19" s="3" t="s">
        <v>50</v>
      </c>
      <c r="L19" s="3" t="s">
        <v>31</v>
      </c>
      <c r="M19" s="4">
        <v>46061</v>
      </c>
      <c r="N19" s="3">
        <v>2</v>
      </c>
      <c r="O19" s="6">
        <f t="shared" si="0"/>
        <v>0</v>
      </c>
      <c r="P19" s="16" t="str" cm="1">
        <f t="array" ref="P19">_xlfn.IFS(N19&lt;=2,"Regular",N19&lt;=4,"Medium",N19&lt;=5,"Bulk")</f>
        <v>Regular</v>
      </c>
      <c r="Q19" s="5">
        <v>16999</v>
      </c>
      <c r="R19" s="3">
        <v>7</v>
      </c>
      <c r="S19" s="5">
        <v>33998</v>
      </c>
      <c r="T19" s="12">
        <f t="shared" si="1"/>
        <v>0.92999999999999994</v>
      </c>
      <c r="U19" s="5">
        <v>2379.86</v>
      </c>
      <c r="V19" s="5">
        <v>31618.14</v>
      </c>
      <c r="W19" s="5">
        <v>6323.6280000000006</v>
      </c>
      <c r="X19" s="3" t="s">
        <v>51</v>
      </c>
      <c r="Y19" s="3" t="s">
        <v>52</v>
      </c>
      <c r="Z19" s="3" t="s">
        <v>72</v>
      </c>
    </row>
    <row r="20" spans="1:26" ht="17.100000000000001" customHeight="1" x14ac:dyDescent="0.25">
      <c r="A20" s="3" t="s">
        <v>101</v>
      </c>
      <c r="B20" s="3">
        <v>102</v>
      </c>
      <c r="C20" s="3" t="s">
        <v>36</v>
      </c>
      <c r="D20" s="3" t="s">
        <v>25</v>
      </c>
      <c r="E20" s="3" t="s">
        <v>37</v>
      </c>
      <c r="F20" s="3" t="s">
        <v>38</v>
      </c>
      <c r="G20" s="4">
        <v>45665</v>
      </c>
      <c r="H20" s="3">
        <v>24</v>
      </c>
      <c r="I20" s="3" t="s">
        <v>57</v>
      </c>
      <c r="J20" s="3" t="s">
        <v>58</v>
      </c>
      <c r="K20" s="3" t="s">
        <v>59</v>
      </c>
      <c r="L20" s="3" t="s">
        <v>31</v>
      </c>
      <c r="M20" s="4">
        <v>46063</v>
      </c>
      <c r="N20" s="3">
        <v>5</v>
      </c>
      <c r="O20" s="6">
        <f t="shared" si="0"/>
        <v>1</v>
      </c>
      <c r="P20" s="16" t="str" cm="1">
        <f t="array" ref="P20">_xlfn.IFS(N20&lt;=2,"Regular",N20&lt;=4,"Medium",N20&lt;=5,"Bulk")</f>
        <v>Bulk</v>
      </c>
      <c r="Q20" s="5">
        <v>27999</v>
      </c>
      <c r="R20" s="3">
        <v>10</v>
      </c>
      <c r="S20" s="5">
        <v>139995</v>
      </c>
      <c r="T20" s="12">
        <f t="shared" si="1"/>
        <v>0.9</v>
      </c>
      <c r="U20" s="5">
        <v>13999.5</v>
      </c>
      <c r="V20" s="5">
        <v>125995.5</v>
      </c>
      <c r="W20" s="5">
        <v>31498.875</v>
      </c>
      <c r="X20" s="3" t="s">
        <v>60</v>
      </c>
      <c r="Y20" s="3" t="s">
        <v>33</v>
      </c>
      <c r="Z20" s="3" t="s">
        <v>34</v>
      </c>
    </row>
    <row r="21" spans="1:26" ht="17.100000000000001" customHeight="1" x14ac:dyDescent="0.25">
      <c r="A21" s="3" t="s">
        <v>102</v>
      </c>
      <c r="B21" s="3">
        <v>103</v>
      </c>
      <c r="C21" s="3" t="s">
        <v>46</v>
      </c>
      <c r="D21" s="3" t="s">
        <v>47</v>
      </c>
      <c r="E21" s="3" t="s">
        <v>26</v>
      </c>
      <c r="F21" s="3" t="s">
        <v>38</v>
      </c>
      <c r="G21" s="4">
        <v>45669</v>
      </c>
      <c r="H21" s="3">
        <v>23</v>
      </c>
      <c r="I21" s="3" t="s">
        <v>65</v>
      </c>
      <c r="J21" s="3" t="s">
        <v>66</v>
      </c>
      <c r="K21" s="3" t="s">
        <v>41</v>
      </c>
      <c r="L21" s="3" t="s">
        <v>67</v>
      </c>
      <c r="M21" s="4">
        <v>46065</v>
      </c>
      <c r="N21" s="3">
        <v>1</v>
      </c>
      <c r="O21" s="6">
        <f t="shared" si="0"/>
        <v>1</v>
      </c>
      <c r="P21" s="16" t="str" cm="1">
        <f t="array" ref="P21">_xlfn.IFS(N21&lt;=2,"Regular",N21&lt;=4,"Medium",N21&lt;=5,"Bulk")</f>
        <v>Regular</v>
      </c>
      <c r="Q21" s="5">
        <v>8999</v>
      </c>
      <c r="R21" s="3">
        <v>5</v>
      </c>
      <c r="S21" s="5">
        <v>8999</v>
      </c>
      <c r="T21" s="12">
        <f t="shared" si="1"/>
        <v>0.95</v>
      </c>
      <c r="U21" s="5">
        <v>449.95</v>
      </c>
      <c r="V21" s="5">
        <v>8549.0499999999993</v>
      </c>
      <c r="W21" s="5">
        <v>2564.7150000000001</v>
      </c>
      <c r="X21" s="3" t="s">
        <v>68</v>
      </c>
      <c r="Y21" s="3" t="s">
        <v>43</v>
      </c>
      <c r="Z21" s="3" t="s">
        <v>44</v>
      </c>
    </row>
    <row r="22" spans="1:26" ht="17.100000000000001" customHeight="1" x14ac:dyDescent="0.25">
      <c r="A22" s="3" t="s">
        <v>103</v>
      </c>
      <c r="B22" s="3">
        <v>104</v>
      </c>
      <c r="C22" s="3" t="s">
        <v>55</v>
      </c>
      <c r="D22" s="3" t="s">
        <v>56</v>
      </c>
      <c r="E22" s="3" t="s">
        <v>26</v>
      </c>
      <c r="F22" s="3" t="s">
        <v>38</v>
      </c>
      <c r="G22" s="4">
        <v>45672</v>
      </c>
      <c r="H22" s="3">
        <v>26</v>
      </c>
      <c r="I22" s="3" t="s">
        <v>28</v>
      </c>
      <c r="J22" s="3" t="s">
        <v>29</v>
      </c>
      <c r="K22" s="3" t="s">
        <v>30</v>
      </c>
      <c r="L22" s="3" t="s">
        <v>31</v>
      </c>
      <c r="M22" s="4">
        <v>46067</v>
      </c>
      <c r="N22" s="3">
        <v>1</v>
      </c>
      <c r="O22" s="6">
        <f t="shared" si="0"/>
        <v>1</v>
      </c>
      <c r="P22" s="16" t="str" cm="1">
        <f t="array" ref="P22">_xlfn.IFS(N22&lt;=2,"Regular",N22&lt;=4,"Medium",N22&lt;=5,"Bulk")</f>
        <v>Regular</v>
      </c>
      <c r="Q22" s="5">
        <v>69999</v>
      </c>
      <c r="R22" s="3">
        <v>0</v>
      </c>
      <c r="S22" s="5">
        <v>69999</v>
      </c>
      <c r="T22" s="12">
        <f t="shared" si="1"/>
        <v>1</v>
      </c>
      <c r="U22" s="5">
        <v>0</v>
      </c>
      <c r="V22" s="5">
        <v>69999</v>
      </c>
      <c r="W22" s="5">
        <v>6999.9000000000005</v>
      </c>
      <c r="X22" s="3" t="s">
        <v>32</v>
      </c>
      <c r="Y22" s="3" t="s">
        <v>52</v>
      </c>
      <c r="Z22" s="3" t="s">
        <v>53</v>
      </c>
    </row>
    <row r="23" spans="1:26" ht="17.100000000000001" customHeight="1" x14ac:dyDescent="0.25">
      <c r="A23" s="3" t="s">
        <v>104</v>
      </c>
      <c r="B23" s="3">
        <v>105</v>
      </c>
      <c r="C23" s="3" t="s">
        <v>63</v>
      </c>
      <c r="D23" s="3" t="s">
        <v>56</v>
      </c>
      <c r="E23" s="3" t="s">
        <v>64</v>
      </c>
      <c r="F23" s="3" t="s">
        <v>38</v>
      </c>
      <c r="G23" s="4">
        <v>45677</v>
      </c>
      <c r="H23" s="3">
        <v>22</v>
      </c>
      <c r="I23" s="3" t="s">
        <v>39</v>
      </c>
      <c r="J23" s="3" t="s">
        <v>40</v>
      </c>
      <c r="K23" s="3" t="s">
        <v>41</v>
      </c>
      <c r="L23" s="3" t="s">
        <v>31</v>
      </c>
      <c r="M23" s="4">
        <v>46069</v>
      </c>
      <c r="N23" s="3">
        <v>2</v>
      </c>
      <c r="O23" s="6">
        <f t="shared" si="0"/>
        <v>0</v>
      </c>
      <c r="P23" s="16" t="str" cm="1">
        <f t="array" ref="P23">_xlfn.IFS(N23&lt;=2,"Regular",N23&lt;=4,"Medium",N23&lt;=5,"Bulk")</f>
        <v>Regular</v>
      </c>
      <c r="Q23" s="5">
        <v>30999</v>
      </c>
      <c r="R23" s="3">
        <v>5</v>
      </c>
      <c r="S23" s="5">
        <v>61998</v>
      </c>
      <c r="T23" s="12">
        <f t="shared" si="1"/>
        <v>0.95</v>
      </c>
      <c r="U23" s="5">
        <v>3099.9</v>
      </c>
      <c r="V23" s="5">
        <v>58898.1</v>
      </c>
      <c r="W23" s="5">
        <v>11779.62</v>
      </c>
      <c r="X23" s="3" t="s">
        <v>42</v>
      </c>
      <c r="Y23" s="3" t="s">
        <v>33</v>
      </c>
      <c r="Z23" s="3" t="s">
        <v>61</v>
      </c>
    </row>
    <row r="24" spans="1:26" ht="17.100000000000001" customHeight="1" x14ac:dyDescent="0.25">
      <c r="A24" s="3" t="s">
        <v>105</v>
      </c>
      <c r="B24" s="3">
        <v>106</v>
      </c>
      <c r="C24" s="3" t="s">
        <v>71</v>
      </c>
      <c r="D24" s="3" t="s">
        <v>56</v>
      </c>
      <c r="E24" s="3" t="s">
        <v>26</v>
      </c>
      <c r="F24" s="3" t="s">
        <v>38</v>
      </c>
      <c r="G24" s="4">
        <v>45679</v>
      </c>
      <c r="H24" s="3">
        <v>24</v>
      </c>
      <c r="I24" s="3" t="s">
        <v>48</v>
      </c>
      <c r="J24" s="3" t="s">
        <v>49</v>
      </c>
      <c r="K24" s="3" t="s">
        <v>50</v>
      </c>
      <c r="L24" s="3" t="s">
        <v>31</v>
      </c>
      <c r="M24" s="4">
        <v>46071</v>
      </c>
      <c r="N24" s="3">
        <v>1</v>
      </c>
      <c r="O24" s="6">
        <f t="shared" si="0"/>
        <v>1</v>
      </c>
      <c r="P24" s="16" t="str" cm="1">
        <f t="array" ref="P24">_xlfn.IFS(N24&lt;=2,"Regular",N24&lt;=4,"Medium",N24&lt;=5,"Bulk")</f>
        <v>Regular</v>
      </c>
      <c r="Q24" s="5">
        <v>16999</v>
      </c>
      <c r="R24" s="3">
        <v>10</v>
      </c>
      <c r="S24" s="5">
        <v>16999</v>
      </c>
      <c r="T24" s="12">
        <f t="shared" si="1"/>
        <v>0.9</v>
      </c>
      <c r="U24" s="5">
        <v>1699.9</v>
      </c>
      <c r="V24" s="5">
        <v>15299.1</v>
      </c>
      <c r="W24" s="5">
        <v>3824.7750000000001</v>
      </c>
      <c r="X24" s="3" t="s">
        <v>51</v>
      </c>
      <c r="Y24" s="3" t="s">
        <v>43</v>
      </c>
      <c r="Z24" s="3" t="s">
        <v>69</v>
      </c>
    </row>
    <row r="25" spans="1:26" ht="17.100000000000001" customHeight="1" x14ac:dyDescent="0.25">
      <c r="A25" s="3" t="s">
        <v>106</v>
      </c>
      <c r="B25" s="3">
        <v>107</v>
      </c>
      <c r="C25" s="3" t="s">
        <v>74</v>
      </c>
      <c r="D25" s="3" t="s">
        <v>25</v>
      </c>
      <c r="E25" s="3" t="s">
        <v>26</v>
      </c>
      <c r="F25" s="3" t="s">
        <v>27</v>
      </c>
      <c r="G25" s="4">
        <v>45682</v>
      </c>
      <c r="H25" s="3">
        <v>27</v>
      </c>
      <c r="I25" s="3" t="s">
        <v>57</v>
      </c>
      <c r="J25" s="3" t="s">
        <v>58</v>
      </c>
      <c r="K25" s="3" t="s">
        <v>59</v>
      </c>
      <c r="L25" s="3" t="s">
        <v>31</v>
      </c>
      <c r="M25" s="4">
        <v>46073</v>
      </c>
      <c r="N25" s="3">
        <v>3</v>
      </c>
      <c r="O25" s="6">
        <f t="shared" si="0"/>
        <v>1</v>
      </c>
      <c r="P25" s="16" t="str" cm="1">
        <f t="array" ref="P25">_xlfn.IFS(N25&lt;=2,"Regular",N25&lt;=4,"Medium",N25&lt;=5,"Bulk")</f>
        <v>Medium</v>
      </c>
      <c r="Q25" s="5">
        <v>27999</v>
      </c>
      <c r="R25" s="3">
        <v>5</v>
      </c>
      <c r="S25" s="5">
        <v>83997</v>
      </c>
      <c r="T25" s="12">
        <f t="shared" si="1"/>
        <v>0.95</v>
      </c>
      <c r="U25" s="5">
        <v>4199.8500000000004</v>
      </c>
      <c r="V25" s="5">
        <v>79797.149999999994</v>
      </c>
      <c r="W25" s="5">
        <v>23939.145</v>
      </c>
      <c r="X25" s="3" t="s">
        <v>60</v>
      </c>
      <c r="Y25" s="3" t="s">
        <v>52</v>
      </c>
      <c r="Z25" s="3" t="s">
        <v>72</v>
      </c>
    </row>
    <row r="26" spans="1:26" ht="17.100000000000001" customHeight="1" x14ac:dyDescent="0.25">
      <c r="A26" s="3" t="s">
        <v>107</v>
      </c>
      <c r="B26" s="3">
        <v>108</v>
      </c>
      <c r="C26" s="3" t="s">
        <v>76</v>
      </c>
      <c r="D26" s="3" t="s">
        <v>47</v>
      </c>
      <c r="E26" s="3" t="s">
        <v>37</v>
      </c>
      <c r="F26" s="3" t="s">
        <v>27</v>
      </c>
      <c r="G26" s="4">
        <v>45685</v>
      </c>
      <c r="H26" s="3">
        <v>21</v>
      </c>
      <c r="I26" s="3" t="s">
        <v>65</v>
      </c>
      <c r="J26" s="3" t="s">
        <v>66</v>
      </c>
      <c r="K26" s="3" t="s">
        <v>41</v>
      </c>
      <c r="L26" s="3" t="s">
        <v>67</v>
      </c>
      <c r="M26" s="4">
        <v>46075</v>
      </c>
      <c r="N26" s="3">
        <v>2</v>
      </c>
      <c r="O26" s="6">
        <f t="shared" si="0"/>
        <v>0</v>
      </c>
      <c r="P26" s="16" t="str" cm="1">
        <f t="array" ref="P26">_xlfn.IFS(N26&lt;=2,"Regular",N26&lt;=4,"Medium",N26&lt;=5,"Bulk")</f>
        <v>Regular</v>
      </c>
      <c r="Q26" s="5">
        <v>8999</v>
      </c>
      <c r="R26" s="3">
        <v>8</v>
      </c>
      <c r="S26" s="5">
        <v>17998</v>
      </c>
      <c r="T26" s="12">
        <f t="shared" si="1"/>
        <v>0.92</v>
      </c>
      <c r="U26" s="5">
        <v>1439.84</v>
      </c>
      <c r="V26" s="5">
        <v>16558.16</v>
      </c>
      <c r="W26" s="5">
        <v>1655.816</v>
      </c>
      <c r="X26" s="3" t="s">
        <v>68</v>
      </c>
      <c r="Y26" s="3" t="s">
        <v>33</v>
      </c>
      <c r="Z26" s="3" t="s">
        <v>34</v>
      </c>
    </row>
    <row r="27" spans="1:26" ht="17.100000000000001" customHeight="1" x14ac:dyDescent="0.25">
      <c r="A27" s="3" t="s">
        <v>108</v>
      </c>
      <c r="B27" s="3">
        <v>109</v>
      </c>
      <c r="C27" s="3" t="s">
        <v>78</v>
      </c>
      <c r="D27" s="3" t="s">
        <v>79</v>
      </c>
      <c r="E27" s="3" t="s">
        <v>64</v>
      </c>
      <c r="F27" s="3" t="s">
        <v>27</v>
      </c>
      <c r="G27" s="4">
        <v>45690</v>
      </c>
      <c r="H27" s="3">
        <v>26</v>
      </c>
      <c r="I27" s="3" t="s">
        <v>28</v>
      </c>
      <c r="J27" s="3" t="s">
        <v>29</v>
      </c>
      <c r="K27" s="3" t="s">
        <v>30</v>
      </c>
      <c r="L27" s="3" t="s">
        <v>31</v>
      </c>
      <c r="M27" s="4">
        <v>46077</v>
      </c>
      <c r="N27" s="3">
        <v>4</v>
      </c>
      <c r="O27" s="6">
        <f t="shared" si="0"/>
        <v>0</v>
      </c>
      <c r="P27" s="16" t="str" cm="1">
        <f t="array" ref="P27">_xlfn.IFS(N27&lt;=2,"Regular",N27&lt;=4,"Medium",N27&lt;=5,"Bulk")</f>
        <v>Medium</v>
      </c>
      <c r="Q27" s="5">
        <v>69999</v>
      </c>
      <c r="R27" s="3">
        <v>12</v>
      </c>
      <c r="S27" s="5">
        <v>279996</v>
      </c>
      <c r="T27" s="12">
        <f t="shared" si="1"/>
        <v>0.88</v>
      </c>
      <c r="U27" s="5">
        <v>33599.519999999997</v>
      </c>
      <c r="V27" s="5">
        <v>246396.48</v>
      </c>
      <c r="W27" s="5">
        <v>49279.296000000002</v>
      </c>
      <c r="X27" s="3" t="s">
        <v>32</v>
      </c>
      <c r="Y27" s="3" t="s">
        <v>43</v>
      </c>
      <c r="Z27" s="3" t="s">
        <v>44</v>
      </c>
    </row>
    <row r="28" spans="1:26" ht="17.100000000000001" customHeight="1" x14ac:dyDescent="0.25">
      <c r="A28" s="3" t="s">
        <v>109</v>
      </c>
      <c r="B28" s="3">
        <v>110</v>
      </c>
      <c r="C28" s="3" t="s">
        <v>81</v>
      </c>
      <c r="D28" s="3" t="s">
        <v>82</v>
      </c>
      <c r="E28" s="3" t="s">
        <v>26</v>
      </c>
      <c r="F28" s="3" t="s">
        <v>38</v>
      </c>
      <c r="G28" s="4">
        <v>45693</v>
      </c>
      <c r="H28" s="3">
        <v>25</v>
      </c>
      <c r="I28" s="3" t="s">
        <v>39</v>
      </c>
      <c r="J28" s="3" t="s">
        <v>40</v>
      </c>
      <c r="K28" s="3" t="s">
        <v>41</v>
      </c>
      <c r="L28" s="3" t="s">
        <v>31</v>
      </c>
      <c r="M28" s="4">
        <v>46079</v>
      </c>
      <c r="N28" s="3">
        <v>1</v>
      </c>
      <c r="O28" s="6">
        <f t="shared" si="0"/>
        <v>1</v>
      </c>
      <c r="P28" s="16" t="str" cm="1">
        <f t="array" ref="P28">_xlfn.IFS(N28&lt;=2,"Regular",N28&lt;=4,"Medium",N28&lt;=5,"Bulk")</f>
        <v>Regular</v>
      </c>
      <c r="Q28" s="5">
        <v>30999</v>
      </c>
      <c r="R28" s="3">
        <v>0</v>
      </c>
      <c r="S28" s="5">
        <v>30999</v>
      </c>
      <c r="T28" s="12">
        <f t="shared" si="1"/>
        <v>1</v>
      </c>
      <c r="U28" s="5">
        <v>0</v>
      </c>
      <c r="V28" s="5">
        <v>30999</v>
      </c>
      <c r="W28" s="5">
        <v>7749.75</v>
      </c>
      <c r="X28" s="3" t="s">
        <v>42</v>
      </c>
      <c r="Y28" s="3" t="s">
        <v>52</v>
      </c>
      <c r="Z28" s="3" t="s">
        <v>53</v>
      </c>
    </row>
    <row r="29" spans="1:26" ht="17.100000000000001" customHeight="1" x14ac:dyDescent="0.25">
      <c r="A29" s="3" t="s">
        <v>110</v>
      </c>
      <c r="B29" s="3">
        <v>111</v>
      </c>
      <c r="C29" s="3" t="s">
        <v>84</v>
      </c>
      <c r="D29" s="3" t="s">
        <v>79</v>
      </c>
      <c r="E29" s="3" t="s">
        <v>37</v>
      </c>
      <c r="F29" s="3" t="s">
        <v>38</v>
      </c>
      <c r="G29" s="4">
        <v>45696</v>
      </c>
      <c r="H29" s="3">
        <v>27</v>
      </c>
      <c r="I29" s="3" t="s">
        <v>48</v>
      </c>
      <c r="J29" s="3" t="s">
        <v>49</v>
      </c>
      <c r="K29" s="3" t="s">
        <v>50</v>
      </c>
      <c r="L29" s="3" t="s">
        <v>31</v>
      </c>
      <c r="M29" s="4">
        <v>46081</v>
      </c>
      <c r="N29" s="3">
        <v>2</v>
      </c>
      <c r="O29" s="6">
        <f t="shared" si="0"/>
        <v>0</v>
      </c>
      <c r="P29" s="16" t="str" cm="1">
        <f t="array" ref="P29">_xlfn.IFS(N29&lt;=2,"Regular",N29&lt;=4,"Medium",N29&lt;=5,"Bulk")</f>
        <v>Regular</v>
      </c>
      <c r="Q29" s="5">
        <v>16999</v>
      </c>
      <c r="R29" s="3">
        <v>7</v>
      </c>
      <c r="S29" s="5">
        <v>33998</v>
      </c>
      <c r="T29" s="12">
        <f t="shared" si="1"/>
        <v>0.92999999999999994</v>
      </c>
      <c r="U29" s="5">
        <v>2379.86</v>
      </c>
      <c r="V29" s="5">
        <v>31618.14</v>
      </c>
      <c r="W29" s="5">
        <v>9485.4419999999991</v>
      </c>
      <c r="X29" s="3" t="s">
        <v>51</v>
      </c>
      <c r="Y29" s="3" t="s">
        <v>33</v>
      </c>
      <c r="Z29" s="3" t="s">
        <v>61</v>
      </c>
    </row>
    <row r="30" spans="1:26" ht="17.100000000000001" customHeight="1" x14ac:dyDescent="0.25">
      <c r="A30" s="3" t="s">
        <v>111</v>
      </c>
      <c r="B30" s="3">
        <v>112</v>
      </c>
      <c r="C30" s="3" t="s">
        <v>86</v>
      </c>
      <c r="D30" s="3" t="s">
        <v>87</v>
      </c>
      <c r="E30" s="3" t="s">
        <v>88</v>
      </c>
      <c r="F30" s="3" t="s">
        <v>38</v>
      </c>
      <c r="G30" s="4">
        <v>45700</v>
      </c>
      <c r="H30" s="3">
        <v>28</v>
      </c>
      <c r="I30" s="3" t="s">
        <v>57</v>
      </c>
      <c r="J30" s="3" t="s">
        <v>58</v>
      </c>
      <c r="K30" s="3" t="s">
        <v>59</v>
      </c>
      <c r="L30" s="3" t="s">
        <v>31</v>
      </c>
      <c r="M30" s="4">
        <v>46083</v>
      </c>
      <c r="N30" s="3">
        <v>5</v>
      </c>
      <c r="O30" s="6">
        <f t="shared" si="0"/>
        <v>1</v>
      </c>
      <c r="P30" s="16" t="str" cm="1">
        <f t="array" ref="P30">_xlfn.IFS(N30&lt;=2,"Regular",N30&lt;=4,"Medium",N30&lt;=5,"Bulk")</f>
        <v>Bulk</v>
      </c>
      <c r="Q30" s="5">
        <v>27999</v>
      </c>
      <c r="R30" s="3">
        <v>10</v>
      </c>
      <c r="S30" s="5">
        <v>139995</v>
      </c>
      <c r="T30" s="12">
        <f t="shared" si="1"/>
        <v>0.9</v>
      </c>
      <c r="U30" s="5">
        <v>13999.5</v>
      </c>
      <c r="V30" s="5">
        <v>125995.5</v>
      </c>
      <c r="W30" s="5">
        <v>12599.55</v>
      </c>
      <c r="X30" s="3" t="s">
        <v>60</v>
      </c>
      <c r="Y30" s="3" t="s">
        <v>43</v>
      </c>
      <c r="Z30" s="3" t="s">
        <v>69</v>
      </c>
    </row>
    <row r="31" spans="1:26" ht="17.100000000000001" customHeight="1" x14ac:dyDescent="0.25">
      <c r="A31" s="3" t="s">
        <v>112</v>
      </c>
      <c r="B31" s="3">
        <v>113</v>
      </c>
      <c r="C31" s="3" t="s">
        <v>90</v>
      </c>
      <c r="D31" s="3" t="s">
        <v>91</v>
      </c>
      <c r="E31" s="3" t="s">
        <v>26</v>
      </c>
      <c r="F31" s="3" t="s">
        <v>38</v>
      </c>
      <c r="G31" s="4">
        <v>45703</v>
      </c>
      <c r="H31" s="3">
        <v>20</v>
      </c>
      <c r="I31" s="3" t="s">
        <v>65</v>
      </c>
      <c r="J31" s="3" t="s">
        <v>66</v>
      </c>
      <c r="K31" s="3" t="s">
        <v>41</v>
      </c>
      <c r="L31" s="3" t="s">
        <v>67</v>
      </c>
      <c r="M31" s="4">
        <v>46085</v>
      </c>
      <c r="N31" s="3">
        <v>1</v>
      </c>
      <c r="O31" s="6">
        <f t="shared" si="0"/>
        <v>1</v>
      </c>
      <c r="P31" s="16" t="str" cm="1">
        <f t="array" ref="P31">_xlfn.IFS(N31&lt;=2,"Regular",N31&lt;=4,"Medium",N31&lt;=5,"Bulk")</f>
        <v>Regular</v>
      </c>
      <c r="Q31" s="5">
        <v>8999</v>
      </c>
      <c r="R31" s="3">
        <v>5</v>
      </c>
      <c r="S31" s="5">
        <v>8999</v>
      </c>
      <c r="T31" s="12">
        <f t="shared" si="1"/>
        <v>0.95</v>
      </c>
      <c r="U31" s="5">
        <v>449.95</v>
      </c>
      <c r="V31" s="5">
        <v>8549.0499999999993</v>
      </c>
      <c r="W31" s="5">
        <v>1709.81</v>
      </c>
      <c r="X31" s="3" t="s">
        <v>68</v>
      </c>
      <c r="Y31" s="3" t="s">
        <v>52</v>
      </c>
      <c r="Z31" s="3" t="s">
        <v>72</v>
      </c>
    </row>
    <row r="32" spans="1:26" ht="17.100000000000001" customHeight="1" x14ac:dyDescent="0.25">
      <c r="A32" s="3" t="s">
        <v>113</v>
      </c>
      <c r="B32" s="3">
        <v>114</v>
      </c>
      <c r="C32" s="3" t="s">
        <v>93</v>
      </c>
      <c r="D32" s="3" t="s">
        <v>91</v>
      </c>
      <c r="E32" s="3" t="s">
        <v>26</v>
      </c>
      <c r="F32" s="3" t="s">
        <v>38</v>
      </c>
      <c r="G32" s="4">
        <v>45706</v>
      </c>
      <c r="H32" s="3">
        <v>22</v>
      </c>
      <c r="I32" s="3" t="s">
        <v>28</v>
      </c>
      <c r="J32" s="3" t="s">
        <v>29</v>
      </c>
      <c r="K32" s="3" t="s">
        <v>30</v>
      </c>
      <c r="L32" s="3" t="s">
        <v>31</v>
      </c>
      <c r="M32" s="4">
        <v>46087</v>
      </c>
      <c r="N32" s="3">
        <v>1</v>
      </c>
      <c r="O32" s="6">
        <f t="shared" si="0"/>
        <v>1</v>
      </c>
      <c r="P32" s="16" t="str" cm="1">
        <f t="array" ref="P32">_xlfn.IFS(N32&lt;=2,"Regular",N32&lt;=4,"Medium",N32&lt;=5,"Bulk")</f>
        <v>Regular</v>
      </c>
      <c r="Q32" s="5">
        <v>69999</v>
      </c>
      <c r="R32" s="3">
        <v>0</v>
      </c>
      <c r="S32" s="5">
        <v>69999</v>
      </c>
      <c r="T32" s="12">
        <f t="shared" si="1"/>
        <v>1</v>
      </c>
      <c r="U32" s="5">
        <v>0</v>
      </c>
      <c r="V32" s="5">
        <v>69999</v>
      </c>
      <c r="W32" s="5">
        <v>17499.75</v>
      </c>
      <c r="X32" s="3" t="s">
        <v>32</v>
      </c>
      <c r="Y32" s="3" t="s">
        <v>33</v>
      </c>
      <c r="Z32" s="3" t="s">
        <v>34</v>
      </c>
    </row>
    <row r="33" spans="1:26" ht="17.100000000000001" customHeight="1" x14ac:dyDescent="0.25">
      <c r="A33" s="3" t="s">
        <v>114</v>
      </c>
      <c r="B33" s="3">
        <v>115</v>
      </c>
      <c r="C33" s="3" t="s">
        <v>95</v>
      </c>
      <c r="D33" s="3" t="s">
        <v>82</v>
      </c>
      <c r="E33" s="3" t="s">
        <v>37</v>
      </c>
      <c r="F33" s="3" t="s">
        <v>27</v>
      </c>
      <c r="G33" s="4">
        <v>45708</v>
      </c>
      <c r="H33" s="3">
        <v>24</v>
      </c>
      <c r="I33" s="3" t="s">
        <v>39</v>
      </c>
      <c r="J33" s="3" t="s">
        <v>40</v>
      </c>
      <c r="K33" s="3" t="s">
        <v>41</v>
      </c>
      <c r="L33" s="3" t="s">
        <v>31</v>
      </c>
      <c r="M33" s="4">
        <v>46089</v>
      </c>
      <c r="N33" s="3">
        <v>2</v>
      </c>
      <c r="O33" s="6">
        <f t="shared" si="0"/>
        <v>0</v>
      </c>
      <c r="P33" s="16" t="str" cm="1">
        <f t="array" ref="P33">_xlfn.IFS(N33&lt;=2,"Regular",N33&lt;=4,"Medium",N33&lt;=5,"Bulk")</f>
        <v>Regular</v>
      </c>
      <c r="Q33" s="5">
        <v>30999</v>
      </c>
      <c r="R33" s="3">
        <v>5</v>
      </c>
      <c r="S33" s="5">
        <v>61998</v>
      </c>
      <c r="T33" s="12">
        <f t="shared" si="1"/>
        <v>0.95</v>
      </c>
      <c r="U33" s="5">
        <v>3099.9</v>
      </c>
      <c r="V33" s="5">
        <v>58898.1</v>
      </c>
      <c r="W33" s="5">
        <v>17669.43</v>
      </c>
      <c r="X33" s="3" t="s">
        <v>42</v>
      </c>
      <c r="Y33" s="3" t="s">
        <v>43</v>
      </c>
      <c r="Z33" s="3" t="s">
        <v>44</v>
      </c>
    </row>
    <row r="34" spans="1:26" ht="17.100000000000001" customHeight="1" x14ac:dyDescent="0.25">
      <c r="A34" s="3" t="s">
        <v>115</v>
      </c>
      <c r="B34" s="3">
        <v>116</v>
      </c>
      <c r="C34" s="3" t="s">
        <v>97</v>
      </c>
      <c r="D34" s="3" t="s">
        <v>82</v>
      </c>
      <c r="E34" s="3" t="s">
        <v>64</v>
      </c>
      <c r="F34" s="3" t="s">
        <v>27</v>
      </c>
      <c r="G34" s="4">
        <v>45710</v>
      </c>
      <c r="H34" s="3">
        <v>23</v>
      </c>
      <c r="I34" s="3" t="s">
        <v>48</v>
      </c>
      <c r="J34" s="3" t="s">
        <v>49</v>
      </c>
      <c r="K34" s="3" t="s">
        <v>50</v>
      </c>
      <c r="L34" s="3" t="s">
        <v>31</v>
      </c>
      <c r="M34" s="4">
        <v>46091</v>
      </c>
      <c r="N34" s="3">
        <v>1</v>
      </c>
      <c r="O34" s="6">
        <f t="shared" si="0"/>
        <v>1</v>
      </c>
      <c r="P34" s="16" t="str" cm="1">
        <f t="array" ref="P34">_xlfn.IFS(N34&lt;=2,"Regular",N34&lt;=4,"Medium",N34&lt;=5,"Bulk")</f>
        <v>Regular</v>
      </c>
      <c r="Q34" s="5">
        <v>16999</v>
      </c>
      <c r="R34" s="3">
        <v>10</v>
      </c>
      <c r="S34" s="5">
        <v>16999</v>
      </c>
      <c r="T34" s="12">
        <f t="shared" si="1"/>
        <v>0.9</v>
      </c>
      <c r="U34" s="5">
        <v>1699.9</v>
      </c>
      <c r="V34" s="5">
        <v>15299.1</v>
      </c>
      <c r="W34" s="5">
        <v>1529.91</v>
      </c>
      <c r="X34" s="3" t="s">
        <v>51</v>
      </c>
      <c r="Y34" s="3" t="s">
        <v>52</v>
      </c>
      <c r="Z34" s="3" t="s">
        <v>53</v>
      </c>
    </row>
    <row r="35" spans="1:26" ht="17.100000000000001" customHeight="1" x14ac:dyDescent="0.25">
      <c r="A35" s="3" t="s">
        <v>116</v>
      </c>
      <c r="B35" s="3">
        <v>117</v>
      </c>
      <c r="C35" s="3" t="s">
        <v>99</v>
      </c>
      <c r="D35" s="3" t="s">
        <v>47</v>
      </c>
      <c r="E35" s="3" t="s">
        <v>26</v>
      </c>
      <c r="F35" s="3" t="s">
        <v>38</v>
      </c>
      <c r="G35" s="4">
        <v>45713</v>
      </c>
      <c r="H35" s="3">
        <v>26</v>
      </c>
      <c r="I35" s="3" t="s">
        <v>57</v>
      </c>
      <c r="J35" s="3" t="s">
        <v>58</v>
      </c>
      <c r="K35" s="3" t="s">
        <v>59</v>
      </c>
      <c r="L35" s="3" t="s">
        <v>31</v>
      </c>
      <c r="M35" s="4">
        <v>46093</v>
      </c>
      <c r="N35" s="3">
        <v>3</v>
      </c>
      <c r="O35" s="6">
        <f t="shared" si="0"/>
        <v>1</v>
      </c>
      <c r="P35" s="16" t="str" cm="1">
        <f t="array" ref="P35">_xlfn.IFS(N35&lt;=2,"Regular",N35&lt;=4,"Medium",N35&lt;=5,"Bulk")</f>
        <v>Medium</v>
      </c>
      <c r="Q35" s="5">
        <v>27999</v>
      </c>
      <c r="R35" s="3">
        <v>5</v>
      </c>
      <c r="S35" s="5">
        <v>83997</v>
      </c>
      <c r="T35" s="12">
        <f t="shared" si="1"/>
        <v>0.95</v>
      </c>
      <c r="U35" s="5">
        <v>4199.8500000000004</v>
      </c>
      <c r="V35" s="5">
        <v>79797.149999999994</v>
      </c>
      <c r="W35" s="5">
        <v>15959.43</v>
      </c>
      <c r="X35" s="3" t="s">
        <v>60</v>
      </c>
      <c r="Y35" s="3" t="s">
        <v>33</v>
      </c>
      <c r="Z35" s="3" t="s">
        <v>61</v>
      </c>
    </row>
    <row r="36" spans="1:26" ht="17.100000000000001" customHeight="1" x14ac:dyDescent="0.25">
      <c r="A36" s="3" t="s">
        <v>117</v>
      </c>
      <c r="B36" s="3">
        <v>101</v>
      </c>
      <c r="C36" s="3" t="s">
        <v>24</v>
      </c>
      <c r="D36" s="3" t="s">
        <v>25</v>
      </c>
      <c r="E36" s="3" t="s">
        <v>26</v>
      </c>
      <c r="F36" s="3" t="s">
        <v>27</v>
      </c>
      <c r="G36" s="4">
        <v>45662</v>
      </c>
      <c r="H36" s="3">
        <v>25</v>
      </c>
      <c r="I36" s="3" t="s">
        <v>65</v>
      </c>
      <c r="J36" s="3" t="s">
        <v>66</v>
      </c>
      <c r="K36" s="3" t="s">
        <v>41</v>
      </c>
      <c r="L36" s="3" t="s">
        <v>67</v>
      </c>
      <c r="M36" s="4">
        <v>46095</v>
      </c>
      <c r="N36" s="3">
        <v>2</v>
      </c>
      <c r="O36" s="6">
        <f t="shared" si="0"/>
        <v>0</v>
      </c>
      <c r="P36" s="16" t="str" cm="1">
        <f t="array" ref="P36">_xlfn.IFS(N36&lt;=2,"Regular",N36&lt;=4,"Medium",N36&lt;=5,"Bulk")</f>
        <v>Regular</v>
      </c>
      <c r="Q36" s="5">
        <v>8999</v>
      </c>
      <c r="R36" s="3">
        <v>8</v>
      </c>
      <c r="S36" s="5">
        <v>17998</v>
      </c>
      <c r="T36" s="12">
        <f t="shared" si="1"/>
        <v>0.92</v>
      </c>
      <c r="U36" s="5">
        <v>1439.84</v>
      </c>
      <c r="V36" s="5">
        <v>16558.16</v>
      </c>
      <c r="W36" s="5">
        <v>4139.54</v>
      </c>
      <c r="X36" s="3" t="s">
        <v>68</v>
      </c>
      <c r="Y36" s="3" t="s">
        <v>43</v>
      </c>
      <c r="Z36" s="3" t="s">
        <v>69</v>
      </c>
    </row>
    <row r="37" spans="1:26" ht="17.100000000000001" customHeight="1" x14ac:dyDescent="0.25">
      <c r="A37" s="3" t="s">
        <v>118</v>
      </c>
      <c r="B37" s="3">
        <v>102</v>
      </c>
      <c r="C37" s="3" t="s">
        <v>36</v>
      </c>
      <c r="D37" s="3" t="s">
        <v>25</v>
      </c>
      <c r="E37" s="3" t="s">
        <v>37</v>
      </c>
      <c r="F37" s="3" t="s">
        <v>38</v>
      </c>
      <c r="G37" s="4">
        <v>45665</v>
      </c>
      <c r="H37" s="3">
        <v>24</v>
      </c>
      <c r="I37" s="3" t="s">
        <v>28</v>
      </c>
      <c r="J37" s="3" t="s">
        <v>29</v>
      </c>
      <c r="K37" s="3" t="s">
        <v>30</v>
      </c>
      <c r="L37" s="3" t="s">
        <v>31</v>
      </c>
      <c r="M37" s="4">
        <v>46097</v>
      </c>
      <c r="N37" s="3">
        <v>4</v>
      </c>
      <c r="O37" s="6">
        <f t="shared" si="0"/>
        <v>0</v>
      </c>
      <c r="P37" s="16" t="str" cm="1">
        <f t="array" ref="P37">_xlfn.IFS(N37&lt;=2,"Regular",N37&lt;=4,"Medium",N37&lt;=5,"Bulk")</f>
        <v>Medium</v>
      </c>
      <c r="Q37" s="5">
        <v>69999</v>
      </c>
      <c r="R37" s="3">
        <v>12</v>
      </c>
      <c r="S37" s="5">
        <v>279996</v>
      </c>
      <c r="T37" s="12">
        <f t="shared" si="1"/>
        <v>0.88</v>
      </c>
      <c r="U37" s="5">
        <v>33599.519999999997</v>
      </c>
      <c r="V37" s="5">
        <v>246396.48</v>
      </c>
      <c r="W37" s="5">
        <v>73918.944000000003</v>
      </c>
      <c r="X37" s="3" t="s">
        <v>32</v>
      </c>
      <c r="Y37" s="3" t="s">
        <v>52</v>
      </c>
      <c r="Z37" s="3" t="s">
        <v>72</v>
      </c>
    </row>
    <row r="38" spans="1:26" ht="17.100000000000001" customHeight="1" x14ac:dyDescent="0.25">
      <c r="A38" s="3" t="s">
        <v>119</v>
      </c>
      <c r="B38" s="3">
        <v>103</v>
      </c>
      <c r="C38" s="3" t="s">
        <v>46</v>
      </c>
      <c r="D38" s="3" t="s">
        <v>47</v>
      </c>
      <c r="E38" s="3" t="s">
        <v>26</v>
      </c>
      <c r="F38" s="3" t="s">
        <v>38</v>
      </c>
      <c r="G38" s="4">
        <v>45669</v>
      </c>
      <c r="H38" s="3">
        <v>23</v>
      </c>
      <c r="I38" s="3" t="s">
        <v>39</v>
      </c>
      <c r="J38" s="3" t="s">
        <v>40</v>
      </c>
      <c r="K38" s="3" t="s">
        <v>41</v>
      </c>
      <c r="L38" s="3" t="s">
        <v>31</v>
      </c>
      <c r="M38" s="4">
        <v>46099</v>
      </c>
      <c r="N38" s="3">
        <v>1</v>
      </c>
      <c r="O38" s="6">
        <f t="shared" si="0"/>
        <v>1</v>
      </c>
      <c r="P38" s="16" t="str" cm="1">
        <f t="array" ref="P38">_xlfn.IFS(N38&lt;=2,"Regular",N38&lt;=4,"Medium",N38&lt;=5,"Bulk")</f>
        <v>Regular</v>
      </c>
      <c r="Q38" s="5">
        <v>30999</v>
      </c>
      <c r="R38" s="3">
        <v>0</v>
      </c>
      <c r="S38" s="5">
        <v>30999</v>
      </c>
      <c r="T38" s="12">
        <f t="shared" si="1"/>
        <v>1</v>
      </c>
      <c r="U38" s="5">
        <v>0</v>
      </c>
      <c r="V38" s="5">
        <v>30999</v>
      </c>
      <c r="W38" s="5">
        <v>3099.9</v>
      </c>
      <c r="X38" s="3" t="s">
        <v>42</v>
      </c>
      <c r="Y38" s="3" t="s">
        <v>33</v>
      </c>
      <c r="Z38" s="3" t="s">
        <v>34</v>
      </c>
    </row>
    <row r="39" spans="1:26" ht="17.100000000000001" customHeight="1" x14ac:dyDescent="0.25">
      <c r="A39" s="3" t="s">
        <v>120</v>
      </c>
      <c r="B39" s="3">
        <v>104</v>
      </c>
      <c r="C39" s="3" t="s">
        <v>55</v>
      </c>
      <c r="D39" s="3" t="s">
        <v>56</v>
      </c>
      <c r="E39" s="3" t="s">
        <v>26</v>
      </c>
      <c r="F39" s="3" t="s">
        <v>38</v>
      </c>
      <c r="G39" s="4">
        <v>45672</v>
      </c>
      <c r="H39" s="3">
        <v>26</v>
      </c>
      <c r="I39" s="3" t="s">
        <v>48</v>
      </c>
      <c r="J39" s="3" t="s">
        <v>49</v>
      </c>
      <c r="K39" s="3" t="s">
        <v>50</v>
      </c>
      <c r="L39" s="3" t="s">
        <v>31</v>
      </c>
      <c r="M39" s="4">
        <v>46101</v>
      </c>
      <c r="N39" s="3">
        <v>2</v>
      </c>
      <c r="O39" s="6">
        <f t="shared" si="0"/>
        <v>0</v>
      </c>
      <c r="P39" s="16" t="str" cm="1">
        <f t="array" ref="P39">_xlfn.IFS(N39&lt;=2,"Regular",N39&lt;=4,"Medium",N39&lt;=5,"Bulk")</f>
        <v>Regular</v>
      </c>
      <c r="Q39" s="5">
        <v>16999</v>
      </c>
      <c r="R39" s="3">
        <v>7</v>
      </c>
      <c r="S39" s="5">
        <v>33998</v>
      </c>
      <c r="T39" s="12">
        <f t="shared" si="1"/>
        <v>0.92999999999999994</v>
      </c>
      <c r="U39" s="5">
        <v>2379.86</v>
      </c>
      <c r="V39" s="5">
        <v>31618.14</v>
      </c>
      <c r="W39" s="5">
        <v>6323.6280000000006</v>
      </c>
      <c r="X39" s="3" t="s">
        <v>51</v>
      </c>
      <c r="Y39" s="3" t="s">
        <v>43</v>
      </c>
      <c r="Z39" s="3" t="s">
        <v>44</v>
      </c>
    </row>
    <row r="40" spans="1:26" ht="17.100000000000001" customHeight="1" x14ac:dyDescent="0.25">
      <c r="A40" s="3" t="s">
        <v>121</v>
      </c>
      <c r="B40" s="3">
        <v>105</v>
      </c>
      <c r="C40" s="3" t="s">
        <v>63</v>
      </c>
      <c r="D40" s="3" t="s">
        <v>56</v>
      </c>
      <c r="E40" s="3" t="s">
        <v>64</v>
      </c>
      <c r="F40" s="3" t="s">
        <v>38</v>
      </c>
      <c r="G40" s="4">
        <v>45677</v>
      </c>
      <c r="H40" s="3">
        <v>22</v>
      </c>
      <c r="I40" s="3" t="s">
        <v>57</v>
      </c>
      <c r="J40" s="3" t="s">
        <v>58</v>
      </c>
      <c r="K40" s="3" t="s">
        <v>59</v>
      </c>
      <c r="L40" s="3" t="s">
        <v>31</v>
      </c>
      <c r="M40" s="4">
        <v>46103</v>
      </c>
      <c r="N40" s="3">
        <v>5</v>
      </c>
      <c r="O40" s="6">
        <f t="shared" si="0"/>
        <v>1</v>
      </c>
      <c r="P40" s="16" t="str" cm="1">
        <f t="array" ref="P40">_xlfn.IFS(N40&lt;=2,"Regular",N40&lt;=4,"Medium",N40&lt;=5,"Bulk")</f>
        <v>Bulk</v>
      </c>
      <c r="Q40" s="5">
        <v>27999</v>
      </c>
      <c r="R40" s="3">
        <v>10</v>
      </c>
      <c r="S40" s="5">
        <v>139995</v>
      </c>
      <c r="T40" s="12">
        <f t="shared" si="1"/>
        <v>0.9</v>
      </c>
      <c r="U40" s="5">
        <v>13999.5</v>
      </c>
      <c r="V40" s="5">
        <v>125995.5</v>
      </c>
      <c r="W40" s="5">
        <v>31498.875</v>
      </c>
      <c r="X40" s="3" t="s">
        <v>60</v>
      </c>
      <c r="Y40" s="3" t="s">
        <v>52</v>
      </c>
      <c r="Z40" s="3" t="s">
        <v>53</v>
      </c>
    </row>
    <row r="41" spans="1:26" ht="17.100000000000001" customHeight="1" x14ac:dyDescent="0.25">
      <c r="A41" s="3" t="s">
        <v>122</v>
      </c>
      <c r="B41" s="3">
        <v>106</v>
      </c>
      <c r="C41" s="3" t="s">
        <v>71</v>
      </c>
      <c r="D41" s="3" t="s">
        <v>56</v>
      </c>
      <c r="E41" s="3" t="s">
        <v>26</v>
      </c>
      <c r="F41" s="3" t="s">
        <v>38</v>
      </c>
      <c r="G41" s="4">
        <v>45679</v>
      </c>
      <c r="H41" s="3">
        <v>24</v>
      </c>
      <c r="I41" s="3" t="s">
        <v>65</v>
      </c>
      <c r="J41" s="3" t="s">
        <v>66</v>
      </c>
      <c r="K41" s="3" t="s">
        <v>41</v>
      </c>
      <c r="L41" s="3" t="s">
        <v>67</v>
      </c>
      <c r="M41" s="4">
        <v>46105</v>
      </c>
      <c r="N41" s="3">
        <v>1</v>
      </c>
      <c r="O41" s="6">
        <f t="shared" si="0"/>
        <v>1</v>
      </c>
      <c r="P41" s="16" t="str" cm="1">
        <f t="array" ref="P41">_xlfn.IFS(N41&lt;=2,"Regular",N41&lt;=4,"Medium",N41&lt;=5,"Bulk")</f>
        <v>Regular</v>
      </c>
      <c r="Q41" s="5">
        <v>8999</v>
      </c>
      <c r="R41" s="3">
        <v>5</v>
      </c>
      <c r="S41" s="5">
        <v>8999</v>
      </c>
      <c r="T41" s="12">
        <f t="shared" si="1"/>
        <v>0.95</v>
      </c>
      <c r="U41" s="5">
        <v>449.95</v>
      </c>
      <c r="V41" s="5">
        <v>8549.0499999999993</v>
      </c>
      <c r="W41" s="5">
        <v>2564.7150000000001</v>
      </c>
      <c r="X41" s="3" t="s">
        <v>68</v>
      </c>
      <c r="Y41" s="3" t="s">
        <v>33</v>
      </c>
      <c r="Z41" s="3" t="s">
        <v>61</v>
      </c>
    </row>
    <row r="42" spans="1:26" ht="17.100000000000001" customHeight="1" x14ac:dyDescent="0.25">
      <c r="A42" s="3" t="s">
        <v>123</v>
      </c>
      <c r="B42" s="3">
        <v>107</v>
      </c>
      <c r="C42" s="3" t="s">
        <v>74</v>
      </c>
      <c r="D42" s="3" t="s">
        <v>25</v>
      </c>
      <c r="E42" s="3" t="s">
        <v>26</v>
      </c>
      <c r="F42" s="3" t="s">
        <v>27</v>
      </c>
      <c r="G42" s="4">
        <v>45682</v>
      </c>
      <c r="H42" s="3">
        <v>27</v>
      </c>
      <c r="I42" s="3" t="s">
        <v>28</v>
      </c>
      <c r="J42" s="3" t="s">
        <v>29</v>
      </c>
      <c r="K42" s="3" t="s">
        <v>30</v>
      </c>
      <c r="L42" s="3" t="s">
        <v>31</v>
      </c>
      <c r="M42" s="4">
        <v>46107</v>
      </c>
      <c r="N42" s="3">
        <v>1</v>
      </c>
      <c r="O42" s="6">
        <f t="shared" si="0"/>
        <v>1</v>
      </c>
      <c r="P42" s="16" t="str" cm="1">
        <f t="array" ref="P42">_xlfn.IFS(N42&lt;=2,"Regular",N42&lt;=4,"Medium",N42&lt;=5,"Bulk")</f>
        <v>Regular</v>
      </c>
      <c r="Q42" s="5">
        <v>69999</v>
      </c>
      <c r="R42" s="3">
        <v>0</v>
      </c>
      <c r="S42" s="5">
        <v>69999</v>
      </c>
      <c r="T42" s="12">
        <f t="shared" si="1"/>
        <v>1</v>
      </c>
      <c r="U42" s="5">
        <v>0</v>
      </c>
      <c r="V42" s="5">
        <v>69999</v>
      </c>
      <c r="W42" s="5">
        <v>6999.9000000000005</v>
      </c>
      <c r="X42" s="3" t="s">
        <v>32</v>
      </c>
      <c r="Y42" s="3" t="s">
        <v>43</v>
      </c>
      <c r="Z42" s="3" t="s">
        <v>69</v>
      </c>
    </row>
    <row r="43" spans="1:26" ht="17.100000000000001" customHeight="1" x14ac:dyDescent="0.25">
      <c r="A43" s="3" t="s">
        <v>124</v>
      </c>
      <c r="B43" s="3">
        <v>108</v>
      </c>
      <c r="C43" s="3" t="s">
        <v>76</v>
      </c>
      <c r="D43" s="3" t="s">
        <v>47</v>
      </c>
      <c r="E43" s="3" t="s">
        <v>37</v>
      </c>
      <c r="F43" s="3" t="s">
        <v>27</v>
      </c>
      <c r="G43" s="4">
        <v>45685</v>
      </c>
      <c r="H43" s="3">
        <v>21</v>
      </c>
      <c r="I43" s="3" t="s">
        <v>39</v>
      </c>
      <c r="J43" s="3" t="s">
        <v>40</v>
      </c>
      <c r="K43" s="3" t="s">
        <v>41</v>
      </c>
      <c r="L43" s="3" t="s">
        <v>31</v>
      </c>
      <c r="M43" s="4">
        <v>46109</v>
      </c>
      <c r="N43" s="3">
        <v>2</v>
      </c>
      <c r="O43" s="6">
        <f t="shared" si="0"/>
        <v>0</v>
      </c>
      <c r="P43" s="16" t="str" cm="1">
        <f t="array" ref="P43">_xlfn.IFS(N43&lt;=2,"Regular",N43&lt;=4,"Medium",N43&lt;=5,"Bulk")</f>
        <v>Regular</v>
      </c>
      <c r="Q43" s="5">
        <v>30999</v>
      </c>
      <c r="R43" s="3">
        <v>5</v>
      </c>
      <c r="S43" s="5">
        <v>61998</v>
      </c>
      <c r="T43" s="12">
        <f t="shared" si="1"/>
        <v>0.95</v>
      </c>
      <c r="U43" s="5">
        <v>3099.9</v>
      </c>
      <c r="V43" s="5">
        <v>58898.1</v>
      </c>
      <c r="W43" s="5">
        <v>11779.62</v>
      </c>
      <c r="X43" s="3" t="s">
        <v>42</v>
      </c>
      <c r="Y43" s="3" t="s">
        <v>52</v>
      </c>
      <c r="Z43" s="3" t="s">
        <v>72</v>
      </c>
    </row>
    <row r="44" spans="1:26" ht="17.100000000000001" customHeight="1" x14ac:dyDescent="0.25">
      <c r="A44" s="3" t="s">
        <v>125</v>
      </c>
      <c r="B44" s="3">
        <v>109</v>
      </c>
      <c r="C44" s="3" t="s">
        <v>78</v>
      </c>
      <c r="D44" s="3" t="s">
        <v>79</v>
      </c>
      <c r="E44" s="3" t="s">
        <v>64</v>
      </c>
      <c r="F44" s="3" t="s">
        <v>27</v>
      </c>
      <c r="G44" s="4">
        <v>45690</v>
      </c>
      <c r="H44" s="3">
        <v>26</v>
      </c>
      <c r="I44" s="3" t="s">
        <v>48</v>
      </c>
      <c r="J44" s="3" t="s">
        <v>49</v>
      </c>
      <c r="K44" s="3" t="s">
        <v>50</v>
      </c>
      <c r="L44" s="3" t="s">
        <v>31</v>
      </c>
      <c r="M44" s="4">
        <v>46111</v>
      </c>
      <c r="N44" s="3">
        <v>1</v>
      </c>
      <c r="O44" s="6">
        <f t="shared" si="0"/>
        <v>1</v>
      </c>
      <c r="P44" s="16" t="str" cm="1">
        <f t="array" ref="P44">_xlfn.IFS(N44&lt;=2,"Regular",N44&lt;=4,"Medium",N44&lt;=5,"Bulk")</f>
        <v>Regular</v>
      </c>
      <c r="Q44" s="5">
        <v>16999</v>
      </c>
      <c r="R44" s="3">
        <v>10</v>
      </c>
      <c r="S44" s="5">
        <v>16999</v>
      </c>
      <c r="T44" s="12">
        <f t="shared" si="1"/>
        <v>0.9</v>
      </c>
      <c r="U44" s="5">
        <v>1699.9</v>
      </c>
      <c r="V44" s="5">
        <v>15299.1</v>
      </c>
      <c r="W44" s="5">
        <v>3824.7750000000001</v>
      </c>
      <c r="X44" s="3" t="s">
        <v>51</v>
      </c>
      <c r="Y44" s="3" t="s">
        <v>33</v>
      </c>
      <c r="Z44" s="3" t="s">
        <v>34</v>
      </c>
    </row>
    <row r="45" spans="1:26" ht="17.100000000000001" customHeight="1" x14ac:dyDescent="0.25">
      <c r="A45" s="3" t="s">
        <v>126</v>
      </c>
      <c r="B45" s="3">
        <v>110</v>
      </c>
      <c r="C45" s="3" t="s">
        <v>81</v>
      </c>
      <c r="D45" s="3" t="s">
        <v>82</v>
      </c>
      <c r="E45" s="3" t="s">
        <v>26</v>
      </c>
      <c r="F45" s="3" t="s">
        <v>38</v>
      </c>
      <c r="G45" s="4">
        <v>45693</v>
      </c>
      <c r="H45" s="3">
        <v>25</v>
      </c>
      <c r="I45" s="3" t="s">
        <v>57</v>
      </c>
      <c r="J45" s="3" t="s">
        <v>58</v>
      </c>
      <c r="K45" s="3" t="s">
        <v>59</v>
      </c>
      <c r="L45" s="3" t="s">
        <v>31</v>
      </c>
      <c r="M45" s="4">
        <v>46113</v>
      </c>
      <c r="N45" s="3">
        <v>3</v>
      </c>
      <c r="O45" s="6">
        <f t="shared" si="0"/>
        <v>1</v>
      </c>
      <c r="P45" s="16" t="str" cm="1">
        <f t="array" ref="P45">_xlfn.IFS(N45&lt;=2,"Regular",N45&lt;=4,"Medium",N45&lt;=5,"Bulk")</f>
        <v>Medium</v>
      </c>
      <c r="Q45" s="5">
        <v>27999</v>
      </c>
      <c r="R45" s="3">
        <v>5</v>
      </c>
      <c r="S45" s="5">
        <v>83997</v>
      </c>
      <c r="T45" s="12">
        <f t="shared" si="1"/>
        <v>0.95</v>
      </c>
      <c r="U45" s="5">
        <v>4199.8500000000004</v>
      </c>
      <c r="V45" s="5">
        <v>79797.149999999994</v>
      </c>
      <c r="W45" s="5">
        <v>23939.145</v>
      </c>
      <c r="X45" s="3" t="s">
        <v>60</v>
      </c>
      <c r="Y45" s="3" t="s">
        <v>43</v>
      </c>
      <c r="Z45" s="3" t="s">
        <v>44</v>
      </c>
    </row>
    <row r="46" spans="1:26" ht="17.100000000000001" customHeight="1" x14ac:dyDescent="0.25">
      <c r="A46" s="3" t="s">
        <v>127</v>
      </c>
      <c r="B46" s="3">
        <v>111</v>
      </c>
      <c r="C46" s="3" t="s">
        <v>84</v>
      </c>
      <c r="D46" s="3" t="s">
        <v>79</v>
      </c>
      <c r="E46" s="3" t="s">
        <v>37</v>
      </c>
      <c r="F46" s="3" t="s">
        <v>38</v>
      </c>
      <c r="G46" s="4">
        <v>45696</v>
      </c>
      <c r="H46" s="3">
        <v>27</v>
      </c>
      <c r="I46" s="3" t="s">
        <v>65</v>
      </c>
      <c r="J46" s="3" t="s">
        <v>66</v>
      </c>
      <c r="K46" s="3" t="s">
        <v>41</v>
      </c>
      <c r="L46" s="3" t="s">
        <v>67</v>
      </c>
      <c r="M46" s="4">
        <v>46115</v>
      </c>
      <c r="N46" s="3">
        <v>2</v>
      </c>
      <c r="O46" s="6">
        <f t="shared" si="0"/>
        <v>0</v>
      </c>
      <c r="P46" s="16" t="str" cm="1">
        <f t="array" ref="P46">_xlfn.IFS(N46&lt;=2,"Regular",N46&lt;=4,"Medium",N46&lt;=5,"Bulk")</f>
        <v>Regular</v>
      </c>
      <c r="Q46" s="5">
        <v>8999</v>
      </c>
      <c r="R46" s="3">
        <v>8</v>
      </c>
      <c r="S46" s="5">
        <v>17998</v>
      </c>
      <c r="T46" s="12">
        <f t="shared" si="1"/>
        <v>0.92</v>
      </c>
      <c r="U46" s="5">
        <v>1439.84</v>
      </c>
      <c r="V46" s="5">
        <v>16558.16</v>
      </c>
      <c r="W46" s="5">
        <v>1655.816</v>
      </c>
      <c r="X46" s="3" t="s">
        <v>68</v>
      </c>
      <c r="Y46" s="3" t="s">
        <v>52</v>
      </c>
      <c r="Z46" s="3" t="s">
        <v>53</v>
      </c>
    </row>
    <row r="47" spans="1:26" ht="17.100000000000001" customHeight="1" x14ac:dyDescent="0.25">
      <c r="A47" s="3" t="s">
        <v>128</v>
      </c>
      <c r="B47" s="3">
        <v>112</v>
      </c>
      <c r="C47" s="3" t="s">
        <v>86</v>
      </c>
      <c r="D47" s="3" t="s">
        <v>87</v>
      </c>
      <c r="E47" s="3" t="s">
        <v>88</v>
      </c>
      <c r="F47" s="3" t="s">
        <v>38</v>
      </c>
      <c r="G47" s="4">
        <v>45700</v>
      </c>
      <c r="H47" s="3">
        <v>28</v>
      </c>
      <c r="I47" s="3" t="s">
        <v>28</v>
      </c>
      <c r="J47" s="3" t="s">
        <v>29</v>
      </c>
      <c r="K47" s="3" t="s">
        <v>30</v>
      </c>
      <c r="L47" s="3" t="s">
        <v>31</v>
      </c>
      <c r="M47" s="4">
        <v>46117</v>
      </c>
      <c r="N47" s="3">
        <v>4</v>
      </c>
      <c r="O47" s="6">
        <f t="shared" si="0"/>
        <v>0</v>
      </c>
      <c r="P47" s="16" t="str" cm="1">
        <f t="array" ref="P47">_xlfn.IFS(N47&lt;=2,"Regular",N47&lt;=4,"Medium",N47&lt;=5,"Bulk")</f>
        <v>Medium</v>
      </c>
      <c r="Q47" s="5">
        <v>69999</v>
      </c>
      <c r="R47" s="3">
        <v>12</v>
      </c>
      <c r="S47" s="5">
        <v>279996</v>
      </c>
      <c r="T47" s="12">
        <f t="shared" si="1"/>
        <v>0.88</v>
      </c>
      <c r="U47" s="5">
        <v>33599.519999999997</v>
      </c>
      <c r="V47" s="5">
        <v>246396.48</v>
      </c>
      <c r="W47" s="5">
        <v>49279.296000000002</v>
      </c>
      <c r="X47" s="3" t="s">
        <v>32</v>
      </c>
      <c r="Y47" s="3" t="s">
        <v>33</v>
      </c>
      <c r="Z47" s="3" t="s">
        <v>61</v>
      </c>
    </row>
    <row r="48" spans="1:26" ht="17.100000000000001" customHeight="1" x14ac:dyDescent="0.25">
      <c r="A48" s="3" t="s">
        <v>129</v>
      </c>
      <c r="B48" s="3">
        <v>113</v>
      </c>
      <c r="C48" s="3" t="s">
        <v>90</v>
      </c>
      <c r="D48" s="3" t="s">
        <v>91</v>
      </c>
      <c r="E48" s="3" t="s">
        <v>26</v>
      </c>
      <c r="F48" s="3" t="s">
        <v>38</v>
      </c>
      <c r="G48" s="4">
        <v>45703</v>
      </c>
      <c r="H48" s="3">
        <v>20</v>
      </c>
      <c r="I48" s="3" t="s">
        <v>39</v>
      </c>
      <c r="J48" s="3" t="s">
        <v>40</v>
      </c>
      <c r="K48" s="3" t="s">
        <v>41</v>
      </c>
      <c r="L48" s="3" t="s">
        <v>31</v>
      </c>
      <c r="M48" s="4">
        <v>46119</v>
      </c>
      <c r="N48" s="3">
        <v>1</v>
      </c>
      <c r="O48" s="6">
        <f t="shared" si="0"/>
        <v>1</v>
      </c>
      <c r="P48" s="16" t="str" cm="1">
        <f t="array" ref="P48">_xlfn.IFS(N48&lt;=2,"Regular",N48&lt;=4,"Medium",N48&lt;=5,"Bulk")</f>
        <v>Regular</v>
      </c>
      <c r="Q48" s="5">
        <v>30999</v>
      </c>
      <c r="R48" s="3">
        <v>0</v>
      </c>
      <c r="S48" s="5">
        <v>30999</v>
      </c>
      <c r="T48" s="12">
        <f t="shared" si="1"/>
        <v>1</v>
      </c>
      <c r="U48" s="5">
        <v>0</v>
      </c>
      <c r="V48" s="5">
        <v>30999</v>
      </c>
      <c r="W48" s="5">
        <v>7749.75</v>
      </c>
      <c r="X48" s="3" t="s">
        <v>42</v>
      </c>
      <c r="Y48" s="3" t="s">
        <v>43</v>
      </c>
      <c r="Z48" s="3" t="s">
        <v>69</v>
      </c>
    </row>
    <row r="49" spans="1:26" ht="17.100000000000001" customHeight="1" x14ac:dyDescent="0.25">
      <c r="A49" s="3" t="s">
        <v>130</v>
      </c>
      <c r="B49" s="3">
        <v>114</v>
      </c>
      <c r="C49" s="3" t="s">
        <v>93</v>
      </c>
      <c r="D49" s="3" t="s">
        <v>91</v>
      </c>
      <c r="E49" s="3" t="s">
        <v>26</v>
      </c>
      <c r="F49" s="3" t="s">
        <v>38</v>
      </c>
      <c r="G49" s="4">
        <v>45706</v>
      </c>
      <c r="H49" s="3">
        <v>22</v>
      </c>
      <c r="I49" s="3" t="s">
        <v>48</v>
      </c>
      <c r="J49" s="3" t="s">
        <v>49</v>
      </c>
      <c r="K49" s="3" t="s">
        <v>50</v>
      </c>
      <c r="L49" s="3" t="s">
        <v>31</v>
      </c>
      <c r="M49" s="4">
        <v>46121</v>
      </c>
      <c r="N49" s="3">
        <v>2</v>
      </c>
      <c r="O49" s="6">
        <f t="shared" si="0"/>
        <v>0</v>
      </c>
      <c r="P49" s="16" t="str" cm="1">
        <f t="array" ref="P49">_xlfn.IFS(N49&lt;=2,"Regular",N49&lt;=4,"Medium",N49&lt;=5,"Bulk")</f>
        <v>Regular</v>
      </c>
      <c r="Q49" s="5">
        <v>16999</v>
      </c>
      <c r="R49" s="3">
        <v>7</v>
      </c>
      <c r="S49" s="5">
        <v>33998</v>
      </c>
      <c r="T49" s="12">
        <f t="shared" si="1"/>
        <v>0.92999999999999994</v>
      </c>
      <c r="U49" s="5">
        <v>2379.86</v>
      </c>
      <c r="V49" s="5">
        <v>31618.14</v>
      </c>
      <c r="W49" s="5">
        <v>9485.4419999999991</v>
      </c>
      <c r="X49" s="3" t="s">
        <v>51</v>
      </c>
      <c r="Y49" s="3" t="s">
        <v>52</v>
      </c>
      <c r="Z49" s="3" t="s">
        <v>72</v>
      </c>
    </row>
    <row r="50" spans="1:26" ht="17.100000000000001" customHeight="1" x14ac:dyDescent="0.25">
      <c r="A50" s="3" t="s">
        <v>131</v>
      </c>
      <c r="B50" s="3">
        <v>115</v>
      </c>
      <c r="C50" s="3" t="s">
        <v>95</v>
      </c>
      <c r="D50" s="3" t="s">
        <v>82</v>
      </c>
      <c r="E50" s="3" t="s">
        <v>37</v>
      </c>
      <c r="F50" s="3" t="s">
        <v>27</v>
      </c>
      <c r="G50" s="4">
        <v>45708</v>
      </c>
      <c r="H50" s="3">
        <v>24</v>
      </c>
      <c r="I50" s="3" t="s">
        <v>57</v>
      </c>
      <c r="J50" s="3" t="s">
        <v>58</v>
      </c>
      <c r="K50" s="3" t="s">
        <v>59</v>
      </c>
      <c r="L50" s="3" t="s">
        <v>31</v>
      </c>
      <c r="M50" s="4">
        <v>46123</v>
      </c>
      <c r="N50" s="3">
        <v>5</v>
      </c>
      <c r="O50" s="6">
        <f t="shared" si="0"/>
        <v>1</v>
      </c>
      <c r="P50" s="16" t="str" cm="1">
        <f t="array" ref="P50">_xlfn.IFS(N50&lt;=2,"Regular",N50&lt;=4,"Medium",N50&lt;=5,"Bulk")</f>
        <v>Bulk</v>
      </c>
      <c r="Q50" s="5">
        <v>27999</v>
      </c>
      <c r="R50" s="3">
        <v>10</v>
      </c>
      <c r="S50" s="5">
        <v>139995</v>
      </c>
      <c r="T50" s="12">
        <f t="shared" si="1"/>
        <v>0.9</v>
      </c>
      <c r="U50" s="5">
        <v>13999.5</v>
      </c>
      <c r="V50" s="5">
        <v>125995.5</v>
      </c>
      <c r="W50" s="5">
        <v>12599.55</v>
      </c>
      <c r="X50" s="3" t="s">
        <v>60</v>
      </c>
      <c r="Y50" s="3" t="s">
        <v>33</v>
      </c>
      <c r="Z50" s="3" t="s">
        <v>34</v>
      </c>
    </row>
    <row r="51" spans="1:26" ht="17.100000000000001" customHeight="1" x14ac:dyDescent="0.25">
      <c r="A51" s="3" t="s">
        <v>132</v>
      </c>
      <c r="B51" s="3">
        <v>116</v>
      </c>
      <c r="C51" s="3" t="s">
        <v>97</v>
      </c>
      <c r="D51" s="3" t="s">
        <v>82</v>
      </c>
      <c r="E51" s="3" t="s">
        <v>64</v>
      </c>
      <c r="F51" s="3" t="s">
        <v>27</v>
      </c>
      <c r="G51" s="4">
        <v>45710</v>
      </c>
      <c r="H51" s="3">
        <v>23</v>
      </c>
      <c r="I51" s="3" t="s">
        <v>65</v>
      </c>
      <c r="J51" s="3" t="s">
        <v>66</v>
      </c>
      <c r="K51" s="3" t="s">
        <v>41</v>
      </c>
      <c r="L51" s="3" t="s">
        <v>67</v>
      </c>
      <c r="M51" s="4">
        <v>46125</v>
      </c>
      <c r="N51" s="3">
        <v>1</v>
      </c>
      <c r="O51" s="6">
        <f t="shared" si="0"/>
        <v>1</v>
      </c>
      <c r="P51" s="16" t="str" cm="1">
        <f t="array" ref="P51">_xlfn.IFS(N51&lt;=2,"Regular",N51&lt;=4,"Medium",N51&lt;=5,"Bulk")</f>
        <v>Regular</v>
      </c>
      <c r="Q51" s="5">
        <v>8999</v>
      </c>
      <c r="R51" s="3">
        <v>5</v>
      </c>
      <c r="S51" s="5">
        <v>8999</v>
      </c>
      <c r="T51" s="12">
        <f t="shared" si="1"/>
        <v>0.95</v>
      </c>
      <c r="U51" s="5">
        <v>449.95</v>
      </c>
      <c r="V51" s="5">
        <v>8549.0499999999993</v>
      </c>
      <c r="W51" s="5">
        <v>1709.81</v>
      </c>
      <c r="X51" s="3" t="s">
        <v>68</v>
      </c>
      <c r="Y51" s="3" t="s">
        <v>43</v>
      </c>
      <c r="Z51" s="3" t="s">
        <v>44</v>
      </c>
    </row>
    <row r="52" spans="1:26" x14ac:dyDescent="0.25">
      <c r="N52" s="6">
        <f>SUM(N2:N51)</f>
        <v>110</v>
      </c>
      <c r="O52" s="21" t="s">
        <v>171</v>
      </c>
      <c r="Q52" s="10">
        <f>SUM(Q2:Q51)</f>
        <v>1549950</v>
      </c>
      <c r="S52" s="10">
        <f>SUM(S2:S51)</f>
        <v>3724890</v>
      </c>
      <c r="T52" s="15" t="s">
        <v>141</v>
      </c>
      <c r="U52" s="10">
        <f>SUM(U2:U51)</f>
        <v>304341.59999999992</v>
      </c>
      <c r="V52" s="9">
        <f>SUM(V2:V51)</f>
        <v>3420548.4000000004</v>
      </c>
    </row>
    <row r="53" spans="1:26" x14ac:dyDescent="0.25">
      <c r="A53" s="41" t="s">
        <v>133</v>
      </c>
      <c r="B53" s="41"/>
      <c r="C53" s="10" cm="1">
        <f t="array" ref="C53">SUM(V2:V51+W2:W51)</f>
        <v>4156025.9559999988</v>
      </c>
      <c r="D53" s="41" t="s">
        <v>134</v>
      </c>
      <c r="E53" s="41"/>
      <c r="F53" s="41"/>
      <c r="N53" s="11" t="s">
        <v>145</v>
      </c>
      <c r="O53" s="11"/>
      <c r="P53" s="11"/>
      <c r="Q53" s="11" t="s">
        <v>146</v>
      </c>
      <c r="R53" s="11"/>
      <c r="S53" s="40" t="s">
        <v>135</v>
      </c>
      <c r="T53" s="40"/>
      <c r="U53" s="40"/>
      <c r="V53" s="11" t="s">
        <v>139</v>
      </c>
    </row>
    <row r="55" spans="1:26" x14ac:dyDescent="0.25">
      <c r="A55" s="41" t="s">
        <v>168</v>
      </c>
      <c r="B55" s="41"/>
      <c r="C55" s="41"/>
      <c r="D55" s="10">
        <f>S52-U52</f>
        <v>3420548.4</v>
      </c>
      <c r="E55" s="41" t="s">
        <v>136</v>
      </c>
      <c r="F55" s="41"/>
      <c r="G55" s="41"/>
      <c r="H55" s="41"/>
      <c r="N55" s="14"/>
      <c r="O55" s="14"/>
      <c r="P55" s="14"/>
      <c r="S55" s="14"/>
    </row>
    <row r="57" spans="1:26" x14ac:dyDescent="0.25">
      <c r="A57" s="41" t="s">
        <v>169</v>
      </c>
      <c r="B57" s="41"/>
      <c r="C57" s="41"/>
      <c r="D57" s="6">
        <f>N52*Q52</f>
        <v>170494500</v>
      </c>
      <c r="E57" s="41" t="s">
        <v>137</v>
      </c>
      <c r="F57" s="41"/>
    </row>
    <row r="59" spans="1:26" x14ac:dyDescent="0.25">
      <c r="A59" s="41" t="s">
        <v>170</v>
      </c>
      <c r="B59" s="41"/>
      <c r="C59" s="41"/>
      <c r="D59" s="6">
        <f>N52/U52</f>
        <v>3.6143596537574892E-4</v>
      </c>
      <c r="E59" s="41" t="s">
        <v>138</v>
      </c>
      <c r="F59" s="41"/>
    </row>
    <row r="61" spans="1:26" x14ac:dyDescent="0.25">
      <c r="A61" s="41" t="s">
        <v>172</v>
      </c>
      <c r="B61" s="41"/>
      <c r="C61" s="41"/>
      <c r="D61" s="41"/>
      <c r="E61" s="12">
        <f>V52/S52</f>
        <v>0.91829514428614012</v>
      </c>
      <c r="F61" s="41" t="s">
        <v>142</v>
      </c>
      <c r="G61" s="41"/>
    </row>
  </sheetData>
  <autoFilter ref="A1:Z51" xr:uid="{6A57AB5D-4A01-44E6-A3FD-BBD3562FE306}"/>
  <mergeCells count="11">
    <mergeCell ref="A61:D61"/>
    <mergeCell ref="F61:G61"/>
    <mergeCell ref="A53:B53"/>
    <mergeCell ref="D53:F53"/>
    <mergeCell ref="A55:C55"/>
    <mergeCell ref="E55:H55"/>
    <mergeCell ref="S53:U53"/>
    <mergeCell ref="A57:C57"/>
    <mergeCell ref="E57:F57"/>
    <mergeCell ref="A59:C59"/>
    <mergeCell ref="E59:F5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38714-46F9-491A-9807-7F88A37884A0}">
  <dimension ref="A1:C9"/>
  <sheetViews>
    <sheetView workbookViewId="0">
      <selection activeCell="C11" sqref="C11"/>
    </sheetView>
  </sheetViews>
  <sheetFormatPr defaultRowHeight="15" x14ac:dyDescent="0.25"/>
  <cols>
    <col min="1" max="1" width="14.140625" bestFit="1" customWidth="1"/>
    <col min="2" max="2" width="17.28515625" bestFit="1" customWidth="1"/>
    <col min="3" max="3" width="11" bestFit="1" customWidth="1"/>
    <col min="4" max="4" width="10" bestFit="1" customWidth="1"/>
    <col min="5" max="5" width="9" bestFit="1" customWidth="1"/>
    <col min="6" max="6" width="11.28515625" bestFit="1" customWidth="1"/>
  </cols>
  <sheetData>
    <row r="1" spans="1:3" x14ac:dyDescent="0.25">
      <c r="A1" s="42" t="s">
        <v>150</v>
      </c>
      <c r="B1" s="42"/>
      <c r="C1" s="42"/>
    </row>
    <row r="3" spans="1:3" x14ac:dyDescent="0.25">
      <c r="A3" s="17" t="s">
        <v>147</v>
      </c>
      <c r="B3" t="s">
        <v>149</v>
      </c>
    </row>
    <row r="4" spans="1:3" x14ac:dyDescent="0.25">
      <c r="A4" s="19" t="s">
        <v>40</v>
      </c>
      <c r="B4" s="18">
        <v>449485.5</v>
      </c>
    </row>
    <row r="5" spans="1:3" x14ac:dyDescent="0.25">
      <c r="A5" s="19" t="s">
        <v>66</v>
      </c>
      <c r="B5" s="18">
        <v>125536.05000000002</v>
      </c>
    </row>
    <row r="6" spans="1:3" x14ac:dyDescent="0.25">
      <c r="A6" s="19" t="s">
        <v>29</v>
      </c>
      <c r="B6" s="18">
        <v>1581977.4</v>
      </c>
    </row>
    <row r="7" spans="1:3" x14ac:dyDescent="0.25">
      <c r="A7" s="19" t="s">
        <v>58</v>
      </c>
      <c r="B7" s="18">
        <v>1028963.25</v>
      </c>
    </row>
    <row r="8" spans="1:3" x14ac:dyDescent="0.25">
      <c r="A8" s="19" t="s">
        <v>49</v>
      </c>
      <c r="B8" s="18">
        <v>234586.2</v>
      </c>
    </row>
    <row r="9" spans="1:3" x14ac:dyDescent="0.25">
      <c r="A9" s="19" t="s">
        <v>148</v>
      </c>
      <c r="B9" s="18">
        <v>3420548.4000000004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3C95-F193-4450-9339-31E220EC802A}">
  <dimension ref="A1:C9"/>
  <sheetViews>
    <sheetView workbookViewId="0">
      <selection activeCell="B6" sqref="B6"/>
    </sheetView>
  </sheetViews>
  <sheetFormatPr defaultRowHeight="15" x14ac:dyDescent="0.25"/>
  <cols>
    <col min="1" max="1" width="14.140625" bestFit="1" customWidth="1"/>
    <col min="2" max="2" width="16.5703125" bestFit="1" customWidth="1"/>
  </cols>
  <sheetData>
    <row r="1" spans="1:3" x14ac:dyDescent="0.25">
      <c r="A1" s="42" t="s">
        <v>152</v>
      </c>
      <c r="B1" s="42"/>
      <c r="C1" s="42"/>
    </row>
    <row r="3" spans="1:3" x14ac:dyDescent="0.25">
      <c r="A3" s="17" t="s">
        <v>154</v>
      </c>
      <c r="B3" t="s">
        <v>153</v>
      </c>
    </row>
    <row r="4" spans="1:3" x14ac:dyDescent="0.25">
      <c r="A4" s="19" t="s">
        <v>40</v>
      </c>
      <c r="B4" s="18">
        <v>10</v>
      </c>
    </row>
    <row r="5" spans="1:3" x14ac:dyDescent="0.25">
      <c r="A5" s="19" t="s">
        <v>66</v>
      </c>
      <c r="B5" s="18">
        <v>10</v>
      </c>
    </row>
    <row r="6" spans="1:3" x14ac:dyDescent="0.25">
      <c r="A6" s="19" t="s">
        <v>29</v>
      </c>
      <c r="B6" s="18">
        <v>10</v>
      </c>
    </row>
    <row r="7" spans="1:3" x14ac:dyDescent="0.25">
      <c r="A7" s="19" t="s">
        <v>58</v>
      </c>
      <c r="B7" s="18">
        <v>10</v>
      </c>
    </row>
    <row r="8" spans="1:3" x14ac:dyDescent="0.25">
      <c r="A8" s="19" t="s">
        <v>49</v>
      </c>
      <c r="B8" s="18">
        <v>10</v>
      </c>
    </row>
    <row r="9" spans="1:3" x14ac:dyDescent="0.25">
      <c r="A9" s="19" t="s">
        <v>148</v>
      </c>
      <c r="B9" s="18">
        <v>50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2A8B-CF9D-47D5-8F65-CE4ACE10EEB2}">
  <dimension ref="A1:D15"/>
  <sheetViews>
    <sheetView workbookViewId="0">
      <selection activeCell="B17" sqref="B17"/>
    </sheetView>
  </sheetViews>
  <sheetFormatPr defaultRowHeight="15" x14ac:dyDescent="0.25"/>
  <cols>
    <col min="1" max="1" width="18.42578125" bestFit="1" customWidth="1"/>
    <col min="2" max="2" width="16.28515625" bestFit="1" customWidth="1"/>
    <col min="3" max="3" width="11.85546875" bestFit="1" customWidth="1"/>
    <col min="4" max="4" width="11.28515625" bestFit="1" customWidth="1"/>
    <col min="5" max="5" width="8.7109375" bestFit="1" customWidth="1"/>
    <col min="6" max="6" width="5" bestFit="1" customWidth="1"/>
    <col min="7" max="7" width="5.5703125" bestFit="1" customWidth="1"/>
    <col min="8" max="8" width="14.7109375" bestFit="1" customWidth="1"/>
    <col min="9" max="9" width="13.7109375" bestFit="1" customWidth="1"/>
    <col min="10" max="10" width="8.140625" bestFit="1" customWidth="1"/>
    <col min="11" max="11" width="7.85546875" bestFit="1" customWidth="1"/>
    <col min="12" max="12" width="10.140625" bestFit="1" customWidth="1"/>
    <col min="13" max="13" width="8.7109375" bestFit="1" customWidth="1"/>
    <col min="14" max="14" width="5" bestFit="1" customWidth="1"/>
    <col min="15" max="15" width="5.5703125" bestFit="1" customWidth="1"/>
    <col min="16" max="16" width="16.85546875" bestFit="1" customWidth="1"/>
    <col min="17" max="17" width="11.28515625" bestFit="1" customWidth="1"/>
  </cols>
  <sheetData>
    <row r="1" spans="1:4" ht="15.75" x14ac:dyDescent="0.25">
      <c r="A1" s="43" t="s">
        <v>155</v>
      </c>
      <c r="B1" s="43"/>
      <c r="C1" s="43"/>
    </row>
    <row r="3" spans="1:4" x14ac:dyDescent="0.25">
      <c r="A3" s="17" t="s">
        <v>156</v>
      </c>
      <c r="B3" s="17" t="s">
        <v>151</v>
      </c>
    </row>
    <row r="4" spans="1:4" x14ac:dyDescent="0.25">
      <c r="A4" s="17" t="s">
        <v>147</v>
      </c>
      <c r="B4" t="s">
        <v>67</v>
      </c>
      <c r="C4" t="s">
        <v>31</v>
      </c>
      <c r="D4" t="s">
        <v>148</v>
      </c>
    </row>
    <row r="5" spans="1:4" x14ac:dyDescent="0.25">
      <c r="A5" s="19" t="s">
        <v>40</v>
      </c>
      <c r="B5" s="18"/>
      <c r="C5" s="18">
        <v>10</v>
      </c>
      <c r="D5" s="18">
        <v>10</v>
      </c>
    </row>
    <row r="6" spans="1:4" x14ac:dyDescent="0.25">
      <c r="A6" s="20" t="s">
        <v>41</v>
      </c>
      <c r="B6" s="18"/>
      <c r="C6" s="18">
        <v>10</v>
      </c>
      <c r="D6" s="18">
        <v>10</v>
      </c>
    </row>
    <row r="7" spans="1:4" x14ac:dyDescent="0.25">
      <c r="A7" s="19" t="s">
        <v>66</v>
      </c>
      <c r="B7" s="18">
        <v>10</v>
      </c>
      <c r="C7" s="18"/>
      <c r="D7" s="18">
        <v>10</v>
      </c>
    </row>
    <row r="8" spans="1:4" x14ac:dyDescent="0.25">
      <c r="A8" s="20" t="s">
        <v>41</v>
      </c>
      <c r="B8" s="18">
        <v>10</v>
      </c>
      <c r="C8" s="18"/>
      <c r="D8" s="18">
        <v>10</v>
      </c>
    </row>
    <row r="9" spans="1:4" x14ac:dyDescent="0.25">
      <c r="A9" s="19" t="s">
        <v>29</v>
      </c>
      <c r="B9" s="18"/>
      <c r="C9" s="18">
        <v>10</v>
      </c>
      <c r="D9" s="18">
        <v>10</v>
      </c>
    </row>
    <row r="10" spans="1:4" x14ac:dyDescent="0.25">
      <c r="A10" s="20" t="s">
        <v>30</v>
      </c>
      <c r="B10" s="18"/>
      <c r="C10" s="18">
        <v>10</v>
      </c>
      <c r="D10" s="18">
        <v>10</v>
      </c>
    </row>
    <row r="11" spans="1:4" x14ac:dyDescent="0.25">
      <c r="A11" s="19" t="s">
        <v>58</v>
      </c>
      <c r="B11" s="18"/>
      <c r="C11" s="18">
        <v>10</v>
      </c>
      <c r="D11" s="18">
        <v>10</v>
      </c>
    </row>
    <row r="12" spans="1:4" x14ac:dyDescent="0.25">
      <c r="A12" s="20" t="s">
        <v>59</v>
      </c>
      <c r="B12" s="18"/>
      <c r="C12" s="18">
        <v>10</v>
      </c>
      <c r="D12" s="18">
        <v>10</v>
      </c>
    </row>
    <row r="13" spans="1:4" x14ac:dyDescent="0.25">
      <c r="A13" s="19" t="s">
        <v>49</v>
      </c>
      <c r="B13" s="18"/>
      <c r="C13" s="18">
        <v>10</v>
      </c>
      <c r="D13" s="18">
        <v>10</v>
      </c>
    </row>
    <row r="14" spans="1:4" x14ac:dyDescent="0.25">
      <c r="A14" s="20" t="s">
        <v>50</v>
      </c>
      <c r="B14" s="18"/>
      <c r="C14" s="18">
        <v>10</v>
      </c>
      <c r="D14" s="18">
        <v>10</v>
      </c>
    </row>
    <row r="15" spans="1:4" x14ac:dyDescent="0.25">
      <c r="A15" s="19" t="s">
        <v>148</v>
      </c>
      <c r="B15" s="18">
        <v>10</v>
      </c>
      <c r="C15" s="18">
        <v>40</v>
      </c>
      <c r="D15" s="18">
        <v>50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2137-DB7F-4E3C-8406-3A7B6A54A9D3}">
  <dimension ref="A1:S12"/>
  <sheetViews>
    <sheetView workbookViewId="0">
      <selection activeCell="O14" sqref="O14"/>
    </sheetView>
  </sheetViews>
  <sheetFormatPr defaultRowHeight="15" x14ac:dyDescent="0.25"/>
  <cols>
    <col min="1" max="1" width="22.85546875" bestFit="1" customWidth="1"/>
    <col min="2" max="2" width="16.28515625" bestFit="1" customWidth="1"/>
    <col min="3" max="3" width="6" bestFit="1" customWidth="1"/>
    <col min="4" max="4" width="6.42578125" bestFit="1" customWidth="1"/>
    <col min="5" max="5" width="6.5703125" bestFit="1" customWidth="1"/>
    <col min="6" max="6" width="6" bestFit="1" customWidth="1"/>
    <col min="7" max="7" width="5.140625" bestFit="1" customWidth="1"/>
    <col min="8" max="8" width="6.42578125" bestFit="1" customWidth="1"/>
    <col min="9" max="11" width="6.85546875" bestFit="1" customWidth="1"/>
    <col min="12" max="12" width="7.140625" bestFit="1" customWidth="1"/>
    <col min="13" max="13" width="5.42578125" bestFit="1" customWidth="1"/>
    <col min="14" max="14" width="6" bestFit="1" customWidth="1"/>
    <col min="15" max="15" width="7" bestFit="1" customWidth="1"/>
    <col min="16" max="16" width="7.7109375" bestFit="1" customWidth="1"/>
    <col min="17" max="17" width="6.42578125" bestFit="1" customWidth="1"/>
    <col min="18" max="18" width="7" bestFit="1" customWidth="1"/>
    <col min="19" max="19" width="11.28515625" bestFit="1" customWidth="1"/>
    <col min="20" max="20" width="9.140625" customWidth="1"/>
  </cols>
  <sheetData>
    <row r="1" spans="1:19" x14ac:dyDescent="0.25">
      <c r="A1" s="17" t="s">
        <v>5</v>
      </c>
      <c r="B1" t="s">
        <v>158</v>
      </c>
      <c r="D1" s="42" t="s">
        <v>159</v>
      </c>
      <c r="E1" s="42"/>
      <c r="F1" s="42"/>
      <c r="G1" s="42"/>
    </row>
    <row r="3" spans="1:19" x14ac:dyDescent="0.25">
      <c r="A3" s="17" t="s">
        <v>157</v>
      </c>
      <c r="B3" s="17" t="s">
        <v>151</v>
      </c>
    </row>
    <row r="4" spans="1:19" x14ac:dyDescent="0.25">
      <c r="A4" s="17" t="s">
        <v>147</v>
      </c>
      <c r="B4" t="s">
        <v>97</v>
      </c>
      <c r="C4" t="s">
        <v>95</v>
      </c>
      <c r="D4" t="s">
        <v>76</v>
      </c>
      <c r="E4" t="s">
        <v>46</v>
      </c>
      <c r="F4" t="s">
        <v>78</v>
      </c>
      <c r="G4" t="s">
        <v>63</v>
      </c>
      <c r="H4" t="s">
        <v>90</v>
      </c>
      <c r="I4" t="s">
        <v>84</v>
      </c>
      <c r="J4" t="s">
        <v>71</v>
      </c>
      <c r="K4" t="s">
        <v>74</v>
      </c>
      <c r="L4" t="s">
        <v>99</v>
      </c>
      <c r="M4" t="s">
        <v>93</v>
      </c>
      <c r="N4" t="s">
        <v>24</v>
      </c>
      <c r="O4" t="s">
        <v>55</v>
      </c>
      <c r="P4" t="s">
        <v>86</v>
      </c>
      <c r="Q4" t="s">
        <v>81</v>
      </c>
      <c r="R4" t="s">
        <v>36</v>
      </c>
      <c r="S4" t="s">
        <v>148</v>
      </c>
    </row>
    <row r="5" spans="1:19" x14ac:dyDescent="0.25">
      <c r="A5" s="19" t="s">
        <v>82</v>
      </c>
      <c r="B5" s="18">
        <v>69</v>
      </c>
      <c r="C5" s="18">
        <v>72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>
        <v>75</v>
      </c>
      <c r="R5" s="18"/>
      <c r="S5" s="18">
        <v>216</v>
      </c>
    </row>
    <row r="6" spans="1:19" x14ac:dyDescent="0.25">
      <c r="A6" s="19" t="s">
        <v>87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>
        <v>84</v>
      </c>
      <c r="Q6" s="18"/>
      <c r="R6" s="18"/>
      <c r="S6" s="18">
        <v>84</v>
      </c>
    </row>
    <row r="7" spans="1:19" x14ac:dyDescent="0.25">
      <c r="A7" s="19" t="s">
        <v>79</v>
      </c>
      <c r="B7" s="18"/>
      <c r="C7" s="18"/>
      <c r="D7" s="18"/>
      <c r="E7" s="18"/>
      <c r="F7" s="18">
        <v>78</v>
      </c>
      <c r="G7" s="18"/>
      <c r="H7" s="18"/>
      <c r="I7" s="18">
        <v>81</v>
      </c>
      <c r="J7" s="18"/>
      <c r="K7" s="18"/>
      <c r="L7" s="18"/>
      <c r="M7" s="18"/>
      <c r="N7" s="18"/>
      <c r="O7" s="18"/>
      <c r="P7" s="18"/>
      <c r="Q7" s="18"/>
      <c r="R7" s="18"/>
      <c r="S7" s="18">
        <v>159</v>
      </c>
    </row>
    <row r="8" spans="1:19" x14ac:dyDescent="0.25">
      <c r="A8" s="19" t="s">
        <v>47</v>
      </c>
      <c r="B8" s="18"/>
      <c r="C8" s="18"/>
      <c r="D8" s="18">
        <v>63</v>
      </c>
      <c r="E8" s="18">
        <v>69</v>
      </c>
      <c r="F8" s="18"/>
      <c r="G8" s="18"/>
      <c r="H8" s="18"/>
      <c r="I8" s="18"/>
      <c r="J8" s="18"/>
      <c r="K8" s="18"/>
      <c r="L8" s="18">
        <v>52</v>
      </c>
      <c r="M8" s="18"/>
      <c r="N8" s="18"/>
      <c r="O8" s="18"/>
      <c r="P8" s="18"/>
      <c r="Q8" s="18"/>
      <c r="R8" s="18"/>
      <c r="S8" s="18">
        <v>184</v>
      </c>
    </row>
    <row r="9" spans="1:19" x14ac:dyDescent="0.25">
      <c r="A9" s="19" t="s">
        <v>91</v>
      </c>
      <c r="B9" s="18"/>
      <c r="C9" s="18"/>
      <c r="D9" s="18"/>
      <c r="E9" s="18"/>
      <c r="F9" s="18"/>
      <c r="G9" s="18"/>
      <c r="H9" s="18">
        <v>60</v>
      </c>
      <c r="I9" s="18"/>
      <c r="J9" s="18"/>
      <c r="K9" s="18"/>
      <c r="L9" s="18"/>
      <c r="M9" s="18">
        <v>66</v>
      </c>
      <c r="N9" s="18"/>
      <c r="O9" s="18"/>
      <c r="P9" s="18"/>
      <c r="Q9" s="18"/>
      <c r="R9" s="18"/>
      <c r="S9" s="18">
        <v>126</v>
      </c>
    </row>
    <row r="10" spans="1:19" x14ac:dyDescent="0.25">
      <c r="A10" s="19" t="s">
        <v>56</v>
      </c>
      <c r="B10" s="18"/>
      <c r="C10" s="18"/>
      <c r="D10" s="18"/>
      <c r="E10" s="18"/>
      <c r="F10" s="18"/>
      <c r="G10" s="18">
        <v>66</v>
      </c>
      <c r="H10" s="18"/>
      <c r="I10" s="18"/>
      <c r="J10" s="18">
        <v>72</v>
      </c>
      <c r="K10" s="18"/>
      <c r="L10" s="18"/>
      <c r="M10" s="18"/>
      <c r="N10" s="18"/>
      <c r="O10" s="18">
        <v>78</v>
      </c>
      <c r="P10" s="18"/>
      <c r="Q10" s="18"/>
      <c r="R10" s="18"/>
      <c r="S10" s="18">
        <v>216</v>
      </c>
    </row>
    <row r="11" spans="1:19" x14ac:dyDescent="0.25">
      <c r="A11" s="19" t="s">
        <v>25</v>
      </c>
      <c r="B11" s="18"/>
      <c r="C11" s="18"/>
      <c r="D11" s="18"/>
      <c r="E11" s="18"/>
      <c r="F11" s="18"/>
      <c r="G11" s="18"/>
      <c r="H11" s="18"/>
      <c r="I11" s="18"/>
      <c r="J11" s="18"/>
      <c r="K11" s="18">
        <v>81</v>
      </c>
      <c r="L11" s="18"/>
      <c r="M11" s="18"/>
      <c r="N11" s="18">
        <v>75</v>
      </c>
      <c r="O11" s="18"/>
      <c r="P11" s="18"/>
      <c r="Q11" s="18"/>
      <c r="R11" s="18">
        <v>72</v>
      </c>
      <c r="S11" s="18">
        <v>228</v>
      </c>
    </row>
    <row r="12" spans="1:19" x14ac:dyDescent="0.25">
      <c r="A12" s="19" t="s">
        <v>148</v>
      </c>
      <c r="B12" s="18">
        <v>69</v>
      </c>
      <c r="C12" s="18">
        <v>72</v>
      </c>
      <c r="D12" s="18">
        <v>63</v>
      </c>
      <c r="E12" s="18">
        <v>69</v>
      </c>
      <c r="F12" s="18">
        <v>78</v>
      </c>
      <c r="G12" s="18">
        <v>66</v>
      </c>
      <c r="H12" s="18">
        <v>60</v>
      </c>
      <c r="I12" s="18">
        <v>81</v>
      </c>
      <c r="J12" s="18">
        <v>72</v>
      </c>
      <c r="K12" s="18">
        <v>81</v>
      </c>
      <c r="L12" s="18">
        <v>52</v>
      </c>
      <c r="M12" s="18">
        <v>66</v>
      </c>
      <c r="N12" s="18">
        <v>75</v>
      </c>
      <c r="O12" s="18">
        <v>78</v>
      </c>
      <c r="P12" s="18">
        <v>84</v>
      </c>
      <c r="Q12" s="18">
        <v>75</v>
      </c>
      <c r="R12" s="18">
        <v>72</v>
      </c>
      <c r="S12" s="18">
        <v>1213</v>
      </c>
    </row>
  </sheetData>
  <mergeCells count="1">
    <mergeCell ref="D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BBA7-D4D3-4A78-B044-CBA57E92B14F}">
  <dimension ref="A1:M41"/>
  <sheetViews>
    <sheetView zoomScale="88" workbookViewId="0">
      <selection activeCell="Q28" sqref="Q28"/>
    </sheetView>
  </sheetViews>
  <sheetFormatPr defaultRowHeight="15" x14ac:dyDescent="0.25"/>
  <cols>
    <col min="1" max="1" width="17.85546875" bestFit="1" customWidth="1"/>
    <col min="2" max="2" width="16.5703125" bestFit="1" customWidth="1"/>
    <col min="3" max="3" width="11.140625" bestFit="1" customWidth="1"/>
    <col min="4" max="4" width="10.5703125" bestFit="1" customWidth="1"/>
    <col min="5" max="5" width="4.42578125" bestFit="1" customWidth="1"/>
    <col min="6" max="6" width="4.140625" bestFit="1" customWidth="1"/>
    <col min="7" max="7" width="11.28515625" bestFit="1" customWidth="1"/>
    <col min="8" max="8" width="21.7109375" bestFit="1" customWidth="1"/>
    <col min="9" max="9" width="15.140625" customWidth="1"/>
    <col min="10" max="10" width="21.7109375" bestFit="1" customWidth="1"/>
    <col min="11" max="11" width="12.28515625" bestFit="1" customWidth="1"/>
    <col min="12" max="12" width="26.7109375" bestFit="1" customWidth="1"/>
    <col min="13" max="13" width="17.42578125" bestFit="1" customWidth="1"/>
    <col min="14" max="14" width="6" bestFit="1" customWidth="1"/>
    <col min="15" max="15" width="11.28515625" customWidth="1"/>
    <col min="16" max="16" width="9" bestFit="1" customWidth="1"/>
    <col min="17" max="17" width="11.28515625" bestFit="1" customWidth="1"/>
    <col min="18" max="20" width="8.140625" bestFit="1" customWidth="1"/>
    <col min="21" max="21" width="9.28515625" bestFit="1" customWidth="1"/>
    <col min="22" max="23" width="8.140625" bestFit="1" customWidth="1"/>
    <col min="26" max="26" width="9" bestFit="1" customWidth="1"/>
    <col min="27" max="27" width="11.28515625" bestFit="1" customWidth="1"/>
  </cols>
  <sheetData>
    <row r="1" spans="1:10" ht="18.75" x14ac:dyDescent="0.3">
      <c r="B1" s="44" t="s">
        <v>162</v>
      </c>
      <c r="C1" s="46"/>
      <c r="D1" s="46"/>
      <c r="E1" s="46"/>
    </row>
    <row r="3" spans="1:10" x14ac:dyDescent="0.25">
      <c r="A3" s="17" t="s">
        <v>165</v>
      </c>
      <c r="B3" s="17" t="s">
        <v>151</v>
      </c>
    </row>
    <row r="4" spans="1:10" x14ac:dyDescent="0.25">
      <c r="A4" s="17" t="s">
        <v>147</v>
      </c>
      <c r="B4" t="s">
        <v>32</v>
      </c>
      <c r="C4" t="s">
        <v>51</v>
      </c>
      <c r="D4" t="s">
        <v>60</v>
      </c>
      <c r="E4" t="s">
        <v>68</v>
      </c>
      <c r="F4" t="s">
        <v>42</v>
      </c>
      <c r="G4" t="s">
        <v>148</v>
      </c>
      <c r="H4" s="7" t="s">
        <v>163</v>
      </c>
      <c r="I4" s="7" t="s">
        <v>164</v>
      </c>
      <c r="J4" s="7" t="s">
        <v>166</v>
      </c>
    </row>
    <row r="5" spans="1:10" x14ac:dyDescent="0.25">
      <c r="A5" s="19" t="s">
        <v>34</v>
      </c>
      <c r="B5" s="18">
        <v>2</v>
      </c>
      <c r="C5" s="18">
        <v>2</v>
      </c>
      <c r="D5" s="18">
        <v>2</v>
      </c>
      <c r="E5" s="18">
        <v>1</v>
      </c>
      <c r="F5" s="18">
        <v>2</v>
      </c>
      <c r="G5" s="18">
        <v>9</v>
      </c>
      <c r="H5" s="3"/>
      <c r="I5" s="3"/>
      <c r="J5" s="3"/>
    </row>
    <row r="6" spans="1:10" x14ac:dyDescent="0.25">
      <c r="A6" s="20" t="s">
        <v>40</v>
      </c>
      <c r="B6" s="18"/>
      <c r="C6" s="18"/>
      <c r="D6" s="18"/>
      <c r="E6" s="18"/>
      <c r="F6" s="18">
        <v>2</v>
      </c>
      <c r="G6" s="18">
        <v>2</v>
      </c>
      <c r="H6" s="3"/>
      <c r="I6" s="3"/>
      <c r="J6" s="3"/>
    </row>
    <row r="7" spans="1:10" x14ac:dyDescent="0.25">
      <c r="A7" s="20" t="s">
        <v>66</v>
      </c>
      <c r="B7" s="18"/>
      <c r="C7" s="18"/>
      <c r="D7" s="18"/>
      <c r="E7" s="18">
        <v>1</v>
      </c>
      <c r="F7" s="18"/>
      <c r="G7" s="18">
        <v>1</v>
      </c>
      <c r="H7" s="3"/>
      <c r="I7" s="3"/>
      <c r="J7" s="3"/>
    </row>
    <row r="8" spans="1:10" x14ac:dyDescent="0.25">
      <c r="A8" s="20" t="s">
        <v>29</v>
      </c>
      <c r="B8" s="18">
        <v>2</v>
      </c>
      <c r="C8" s="18"/>
      <c r="D8" s="18"/>
      <c r="E8" s="18"/>
      <c r="F8" s="18"/>
      <c r="G8" s="18">
        <v>2</v>
      </c>
      <c r="H8" s="3"/>
      <c r="I8" s="3"/>
      <c r="J8" s="3"/>
    </row>
    <row r="9" spans="1:10" x14ac:dyDescent="0.25">
      <c r="A9" s="20" t="s">
        <v>58</v>
      </c>
      <c r="B9" s="18"/>
      <c r="C9" s="18"/>
      <c r="D9" s="18">
        <v>2</v>
      </c>
      <c r="E9" s="18"/>
      <c r="F9" s="18"/>
      <c r="G9" s="18">
        <v>2</v>
      </c>
      <c r="H9" s="3"/>
      <c r="I9" s="3"/>
      <c r="J9" s="3"/>
    </row>
    <row r="10" spans="1:10" x14ac:dyDescent="0.25">
      <c r="A10" s="20" t="s">
        <v>49</v>
      </c>
      <c r="B10" s="18"/>
      <c r="C10" s="18">
        <v>2</v>
      </c>
      <c r="D10" s="18"/>
      <c r="E10" s="18"/>
      <c r="F10" s="18"/>
      <c r="G10" s="18">
        <v>2</v>
      </c>
      <c r="H10" s="3"/>
      <c r="I10" s="3"/>
      <c r="J10" s="3"/>
    </row>
    <row r="11" spans="1:10" x14ac:dyDescent="0.25">
      <c r="A11" s="19" t="s">
        <v>69</v>
      </c>
      <c r="B11" s="18">
        <v>2</v>
      </c>
      <c r="C11" s="18">
        <v>1</v>
      </c>
      <c r="D11" s="18">
        <v>1</v>
      </c>
      <c r="E11" s="18">
        <v>2</v>
      </c>
      <c r="F11" s="18">
        <v>2</v>
      </c>
      <c r="G11" s="18">
        <v>8</v>
      </c>
      <c r="H11" s="3"/>
      <c r="I11" s="3"/>
      <c r="J11" s="3"/>
    </row>
    <row r="12" spans="1:10" x14ac:dyDescent="0.25">
      <c r="A12" s="20" t="s">
        <v>40</v>
      </c>
      <c r="B12" s="18"/>
      <c r="C12" s="18"/>
      <c r="D12" s="18"/>
      <c r="E12" s="18"/>
      <c r="F12" s="18">
        <v>2</v>
      </c>
      <c r="G12" s="18">
        <v>2</v>
      </c>
      <c r="H12" s="3"/>
      <c r="I12" s="3"/>
      <c r="J12" s="3"/>
    </row>
    <row r="13" spans="1:10" x14ac:dyDescent="0.25">
      <c r="A13" s="20" t="s">
        <v>66</v>
      </c>
      <c r="B13" s="18"/>
      <c r="C13" s="18"/>
      <c r="D13" s="18"/>
      <c r="E13" s="18">
        <v>2</v>
      </c>
      <c r="F13" s="18"/>
      <c r="G13" s="18">
        <v>2</v>
      </c>
      <c r="H13" s="3"/>
      <c r="I13" s="3"/>
      <c r="J13" s="3"/>
    </row>
    <row r="14" spans="1:10" x14ac:dyDescent="0.25">
      <c r="A14" s="20" t="s">
        <v>29</v>
      </c>
      <c r="B14" s="18">
        <v>2</v>
      </c>
      <c r="C14" s="18"/>
      <c r="D14" s="18"/>
      <c r="E14" s="18"/>
      <c r="F14" s="18"/>
      <c r="G14" s="18">
        <v>2</v>
      </c>
      <c r="H14" s="3"/>
      <c r="I14" s="3"/>
      <c r="J14" s="3"/>
    </row>
    <row r="15" spans="1:10" x14ac:dyDescent="0.25">
      <c r="A15" s="20" t="s">
        <v>58</v>
      </c>
      <c r="B15" s="18"/>
      <c r="C15" s="18"/>
      <c r="D15" s="18">
        <v>1</v>
      </c>
      <c r="E15" s="18"/>
      <c r="F15" s="18"/>
      <c r="G15" s="18">
        <v>1</v>
      </c>
      <c r="H15" s="3"/>
      <c r="I15" s="3"/>
      <c r="J15" s="3"/>
    </row>
    <row r="16" spans="1:10" x14ac:dyDescent="0.25">
      <c r="A16" s="20" t="s">
        <v>49</v>
      </c>
      <c r="B16" s="18"/>
      <c r="C16" s="18">
        <v>1</v>
      </c>
      <c r="D16" s="18"/>
      <c r="E16" s="18"/>
      <c r="F16" s="18"/>
      <c r="G16" s="18">
        <v>1</v>
      </c>
      <c r="H16" s="3"/>
      <c r="I16" s="3"/>
      <c r="J16" s="3"/>
    </row>
    <row r="17" spans="1:13" x14ac:dyDescent="0.25">
      <c r="A17" s="19" t="s">
        <v>72</v>
      </c>
      <c r="B17" s="18">
        <v>2</v>
      </c>
      <c r="C17" s="18">
        <v>2</v>
      </c>
      <c r="D17" s="18">
        <v>1</v>
      </c>
      <c r="E17" s="18">
        <v>1</v>
      </c>
      <c r="F17" s="18">
        <v>2</v>
      </c>
      <c r="G17" s="18">
        <v>8</v>
      </c>
      <c r="H17" s="3"/>
      <c r="I17" s="3"/>
      <c r="J17" s="3"/>
    </row>
    <row r="18" spans="1:13" ht="18.75" x14ac:dyDescent="0.3">
      <c r="A18" s="20" t="s">
        <v>40</v>
      </c>
      <c r="B18" s="18"/>
      <c r="C18" s="18"/>
      <c r="D18" s="18"/>
      <c r="E18" s="18"/>
      <c r="F18" s="18">
        <v>2</v>
      </c>
      <c r="G18" s="18">
        <v>2</v>
      </c>
      <c r="H18" s="3"/>
      <c r="I18" s="3"/>
      <c r="J18" s="3"/>
      <c r="L18" s="44" t="s">
        <v>160</v>
      </c>
      <c r="M18" s="44"/>
    </row>
    <row r="19" spans="1:13" x14ac:dyDescent="0.25">
      <c r="A19" s="20" t="s">
        <v>66</v>
      </c>
      <c r="B19" s="18"/>
      <c r="C19" s="18"/>
      <c r="D19" s="18"/>
      <c r="E19" s="18">
        <v>1</v>
      </c>
      <c r="F19" s="18"/>
      <c r="G19" s="18">
        <v>1</v>
      </c>
      <c r="H19" s="3"/>
      <c r="I19" s="3"/>
      <c r="J19" s="3"/>
    </row>
    <row r="20" spans="1:13" x14ac:dyDescent="0.25">
      <c r="A20" s="20" t="s">
        <v>29</v>
      </c>
      <c r="B20" s="18">
        <v>2</v>
      </c>
      <c r="C20" s="18"/>
      <c r="D20" s="18"/>
      <c r="E20" s="18"/>
      <c r="F20" s="18"/>
      <c r="G20" s="18">
        <v>2</v>
      </c>
      <c r="H20" s="3"/>
      <c r="I20" s="3"/>
      <c r="J20" s="3"/>
    </row>
    <row r="21" spans="1:13" x14ac:dyDescent="0.25">
      <c r="A21" s="20" t="s">
        <v>58</v>
      </c>
      <c r="B21" s="18"/>
      <c r="C21" s="18"/>
      <c r="D21" s="18">
        <v>1</v>
      </c>
      <c r="E21" s="18"/>
      <c r="F21" s="18"/>
      <c r="G21" s="18">
        <v>1</v>
      </c>
      <c r="H21" s="3"/>
      <c r="I21" s="3"/>
      <c r="J21" s="3"/>
    </row>
    <row r="22" spans="1:13" x14ac:dyDescent="0.25">
      <c r="A22" s="20" t="s">
        <v>49</v>
      </c>
      <c r="B22" s="18"/>
      <c r="C22" s="18">
        <v>2</v>
      </c>
      <c r="D22" s="18"/>
      <c r="E22" s="18"/>
      <c r="F22" s="18"/>
      <c r="G22" s="18">
        <v>2</v>
      </c>
      <c r="H22" s="3"/>
      <c r="I22" s="3"/>
      <c r="J22" s="3"/>
    </row>
    <row r="23" spans="1:13" x14ac:dyDescent="0.25">
      <c r="A23" s="19" t="s">
        <v>61</v>
      </c>
      <c r="B23" s="18">
        <v>2</v>
      </c>
      <c r="C23" s="18">
        <v>1</v>
      </c>
      <c r="D23" s="18">
        <v>2</v>
      </c>
      <c r="E23" s="18">
        <v>2</v>
      </c>
      <c r="F23" s="18">
        <v>1</v>
      </c>
      <c r="G23" s="18">
        <v>8</v>
      </c>
      <c r="H23" s="3"/>
      <c r="I23" s="3"/>
      <c r="J23" s="3"/>
    </row>
    <row r="24" spans="1:13" x14ac:dyDescent="0.25">
      <c r="A24" s="20" t="s">
        <v>40</v>
      </c>
      <c r="B24" s="18"/>
      <c r="C24" s="18"/>
      <c r="D24" s="18"/>
      <c r="E24" s="18"/>
      <c r="F24" s="18">
        <v>1</v>
      </c>
      <c r="G24" s="18">
        <v>1</v>
      </c>
      <c r="H24" s="3"/>
      <c r="I24" s="3"/>
      <c r="J24" s="3"/>
    </row>
    <row r="25" spans="1:13" x14ac:dyDescent="0.25">
      <c r="A25" s="20" t="s">
        <v>66</v>
      </c>
      <c r="B25" s="18"/>
      <c r="C25" s="18"/>
      <c r="D25" s="18"/>
      <c r="E25" s="18">
        <v>2</v>
      </c>
      <c r="F25" s="18"/>
      <c r="G25" s="18">
        <v>2</v>
      </c>
      <c r="H25" s="3"/>
      <c r="I25" s="3"/>
      <c r="J25" s="3"/>
    </row>
    <row r="26" spans="1:13" x14ac:dyDescent="0.25">
      <c r="A26" s="20" t="s">
        <v>29</v>
      </c>
      <c r="B26" s="18">
        <v>2</v>
      </c>
      <c r="C26" s="18"/>
      <c r="D26" s="18"/>
      <c r="E26" s="18"/>
      <c r="F26" s="18"/>
      <c r="G26" s="18">
        <v>2</v>
      </c>
      <c r="H26" s="3"/>
      <c r="I26" s="3"/>
      <c r="J26" s="3"/>
    </row>
    <row r="27" spans="1:13" x14ac:dyDescent="0.25">
      <c r="A27" s="20" t="s">
        <v>58</v>
      </c>
      <c r="B27" s="18"/>
      <c r="C27" s="18"/>
      <c r="D27" s="18">
        <v>2</v>
      </c>
      <c r="E27" s="18"/>
      <c r="F27" s="18"/>
      <c r="G27" s="18">
        <v>2</v>
      </c>
      <c r="H27" s="3"/>
      <c r="I27" s="3"/>
      <c r="J27" s="3"/>
    </row>
    <row r="28" spans="1:13" x14ac:dyDescent="0.25">
      <c r="A28" s="20" t="s">
        <v>49</v>
      </c>
      <c r="B28" s="18"/>
      <c r="C28" s="18">
        <v>1</v>
      </c>
      <c r="D28" s="18"/>
      <c r="E28" s="18"/>
      <c r="F28" s="18"/>
      <c r="G28" s="18">
        <v>1</v>
      </c>
      <c r="H28" s="3"/>
      <c r="I28" s="3"/>
      <c r="J28" s="3"/>
    </row>
    <row r="29" spans="1:13" x14ac:dyDescent="0.25">
      <c r="A29" s="19" t="s">
        <v>53</v>
      </c>
      <c r="B29" s="18">
        <v>1</v>
      </c>
      <c r="C29" s="18">
        <v>2</v>
      </c>
      <c r="D29" s="18">
        <v>2</v>
      </c>
      <c r="E29" s="18">
        <v>2</v>
      </c>
      <c r="F29" s="18">
        <v>1</v>
      </c>
      <c r="G29" s="18">
        <v>8</v>
      </c>
      <c r="H29" s="3"/>
      <c r="I29" s="3"/>
      <c r="J29" s="3"/>
    </row>
    <row r="30" spans="1:13" x14ac:dyDescent="0.25">
      <c r="A30" s="20" t="s">
        <v>40</v>
      </c>
      <c r="B30" s="18"/>
      <c r="C30" s="18"/>
      <c r="D30" s="18"/>
      <c r="E30" s="18"/>
      <c r="F30" s="18">
        <v>1</v>
      </c>
      <c r="G30" s="18">
        <v>1</v>
      </c>
      <c r="H30" s="3"/>
      <c r="I30" s="3"/>
      <c r="J30" s="3"/>
    </row>
    <row r="31" spans="1:13" x14ac:dyDescent="0.25">
      <c r="A31" s="20" t="s">
        <v>66</v>
      </c>
      <c r="B31" s="18"/>
      <c r="C31" s="18"/>
      <c r="D31" s="18"/>
      <c r="E31" s="18">
        <v>2</v>
      </c>
      <c r="F31" s="18"/>
      <c r="G31" s="18">
        <v>2</v>
      </c>
      <c r="H31" s="3"/>
      <c r="I31" s="3"/>
      <c r="J31" s="3"/>
    </row>
    <row r="32" spans="1:13" x14ac:dyDescent="0.25">
      <c r="A32" s="20" t="s">
        <v>29</v>
      </c>
      <c r="B32" s="18">
        <v>1</v>
      </c>
      <c r="C32" s="18"/>
      <c r="D32" s="18"/>
      <c r="E32" s="18"/>
      <c r="F32" s="18"/>
      <c r="G32" s="18">
        <v>1</v>
      </c>
      <c r="H32" s="3"/>
      <c r="I32" s="3"/>
      <c r="J32" s="3"/>
    </row>
    <row r="33" spans="1:13" x14ac:dyDescent="0.25">
      <c r="A33" s="20" t="s">
        <v>58</v>
      </c>
      <c r="B33" s="18"/>
      <c r="C33" s="18"/>
      <c r="D33" s="18">
        <v>2</v>
      </c>
      <c r="E33" s="18"/>
      <c r="F33" s="18"/>
      <c r="G33" s="18">
        <v>2</v>
      </c>
      <c r="H33" s="3"/>
      <c r="I33" s="3"/>
      <c r="J33" s="3"/>
    </row>
    <row r="34" spans="1:13" x14ac:dyDescent="0.25">
      <c r="A34" s="20" t="s">
        <v>49</v>
      </c>
      <c r="B34" s="18"/>
      <c r="C34" s="18">
        <v>2</v>
      </c>
      <c r="D34" s="18"/>
      <c r="E34" s="18"/>
      <c r="F34" s="18"/>
      <c r="G34" s="18">
        <v>2</v>
      </c>
      <c r="H34" s="3"/>
      <c r="I34" s="3"/>
      <c r="J34" s="3"/>
    </row>
    <row r="35" spans="1:13" ht="18.75" x14ac:dyDescent="0.3">
      <c r="A35" s="19" t="s">
        <v>44</v>
      </c>
      <c r="B35" s="18">
        <v>1</v>
      </c>
      <c r="C35" s="18">
        <v>2</v>
      </c>
      <c r="D35" s="18">
        <v>2</v>
      </c>
      <c r="E35" s="18">
        <v>2</v>
      </c>
      <c r="F35" s="18">
        <v>2</v>
      </c>
      <c r="G35" s="18">
        <v>9</v>
      </c>
      <c r="H35" s="3"/>
      <c r="I35" s="3"/>
      <c r="J35" s="3"/>
      <c r="L35" s="44" t="s">
        <v>161</v>
      </c>
      <c r="M35" s="45"/>
    </row>
    <row r="36" spans="1:13" x14ac:dyDescent="0.25">
      <c r="A36" s="20" t="s">
        <v>40</v>
      </c>
      <c r="B36" s="18"/>
      <c r="C36" s="18"/>
      <c r="D36" s="18"/>
      <c r="E36" s="18"/>
      <c r="F36" s="18">
        <v>2</v>
      </c>
      <c r="G36" s="18">
        <v>2</v>
      </c>
      <c r="H36" s="3"/>
      <c r="I36" s="3"/>
      <c r="J36" s="3"/>
    </row>
    <row r="37" spans="1:13" x14ac:dyDescent="0.25">
      <c r="A37" s="20" t="s">
        <v>66</v>
      </c>
      <c r="B37" s="18"/>
      <c r="C37" s="18"/>
      <c r="D37" s="18"/>
      <c r="E37" s="18">
        <v>2</v>
      </c>
      <c r="F37" s="18"/>
      <c r="G37" s="18">
        <v>2</v>
      </c>
      <c r="H37" s="3"/>
      <c r="I37" s="3"/>
      <c r="J37" s="3"/>
    </row>
    <row r="38" spans="1:13" x14ac:dyDescent="0.25">
      <c r="A38" s="20" t="s">
        <v>29</v>
      </c>
      <c r="B38" s="18">
        <v>1</v>
      </c>
      <c r="C38" s="18"/>
      <c r="D38" s="18"/>
      <c r="E38" s="18"/>
      <c r="F38" s="18"/>
      <c r="G38" s="18">
        <v>1</v>
      </c>
      <c r="H38" s="3"/>
      <c r="I38" s="3"/>
      <c r="J38" s="3"/>
    </row>
    <row r="39" spans="1:13" x14ac:dyDescent="0.25">
      <c r="A39" s="20" t="s">
        <v>58</v>
      </c>
      <c r="B39" s="18"/>
      <c r="C39" s="18"/>
      <c r="D39" s="18">
        <v>2</v>
      </c>
      <c r="E39" s="18"/>
      <c r="F39" s="18"/>
      <c r="G39" s="18">
        <v>2</v>
      </c>
      <c r="H39" s="3"/>
      <c r="I39" s="3"/>
      <c r="J39" s="3"/>
    </row>
    <row r="40" spans="1:13" x14ac:dyDescent="0.25">
      <c r="A40" s="20" t="s">
        <v>49</v>
      </c>
      <c r="B40" s="18"/>
      <c r="C40" s="18">
        <v>2</v>
      </c>
      <c r="D40" s="18"/>
      <c r="E40" s="18"/>
      <c r="F40" s="18"/>
      <c r="G40" s="18">
        <v>2</v>
      </c>
      <c r="H40" s="3"/>
      <c r="I40" s="3"/>
      <c r="J40" s="3"/>
    </row>
    <row r="41" spans="1:13" x14ac:dyDescent="0.25">
      <c r="A41" s="19" t="s">
        <v>148</v>
      </c>
      <c r="B41" s="18">
        <v>10</v>
      </c>
      <c r="C41" s="18">
        <v>10</v>
      </c>
      <c r="D41" s="18">
        <v>10</v>
      </c>
      <c r="E41" s="18">
        <v>10</v>
      </c>
      <c r="F41" s="18">
        <v>10</v>
      </c>
      <c r="G41" s="18">
        <v>50</v>
      </c>
      <c r="H41" s="3"/>
      <c r="I41" s="3"/>
      <c r="J41" s="3"/>
    </row>
  </sheetData>
  <mergeCells count="3">
    <mergeCell ref="L18:M18"/>
    <mergeCell ref="L35:M35"/>
    <mergeCell ref="B1:E1"/>
  </mergeCells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DB840AC4-7765-4666-942B-25DCF77D7FF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'TASK 6'!B5:G5</xm:f>
              <xm:sqref>H5</xm:sqref>
            </x14:sparkline>
            <x14:sparkline>
              <xm:f>'TASK 6'!B6:G6</xm:f>
              <xm:sqref>H6</xm:sqref>
            </x14:sparkline>
            <x14:sparkline>
              <xm:f>'TASK 6'!B7:G7</xm:f>
              <xm:sqref>H7</xm:sqref>
            </x14:sparkline>
            <x14:sparkline>
              <xm:f>'TASK 6'!B8:G8</xm:f>
              <xm:sqref>H8</xm:sqref>
            </x14:sparkline>
            <x14:sparkline>
              <xm:f>'TASK 6'!B9:G9</xm:f>
              <xm:sqref>H9</xm:sqref>
            </x14:sparkline>
            <x14:sparkline>
              <xm:f>'TASK 6'!B10:G10</xm:f>
              <xm:sqref>H10</xm:sqref>
            </x14:sparkline>
            <x14:sparkline>
              <xm:f>'TASK 6'!B11:G11</xm:f>
              <xm:sqref>H11</xm:sqref>
            </x14:sparkline>
            <x14:sparkline>
              <xm:f>'TASK 6'!B12:G12</xm:f>
              <xm:sqref>H12</xm:sqref>
            </x14:sparkline>
            <x14:sparkline>
              <xm:f>'TASK 6'!B13:G13</xm:f>
              <xm:sqref>H13</xm:sqref>
            </x14:sparkline>
            <x14:sparkline>
              <xm:f>'TASK 6'!B14:G14</xm:f>
              <xm:sqref>H14</xm:sqref>
            </x14:sparkline>
            <x14:sparkline>
              <xm:f>'TASK 6'!B15:G15</xm:f>
              <xm:sqref>H15</xm:sqref>
            </x14:sparkline>
            <x14:sparkline>
              <xm:f>'TASK 6'!B16:G16</xm:f>
              <xm:sqref>H16</xm:sqref>
            </x14:sparkline>
            <x14:sparkline>
              <xm:f>'TASK 6'!B17:G17</xm:f>
              <xm:sqref>H17</xm:sqref>
            </x14:sparkline>
            <x14:sparkline>
              <xm:f>'TASK 6'!B18:G18</xm:f>
              <xm:sqref>H18</xm:sqref>
            </x14:sparkline>
            <x14:sparkline>
              <xm:f>'TASK 6'!B19:G19</xm:f>
              <xm:sqref>H19</xm:sqref>
            </x14:sparkline>
            <x14:sparkline>
              <xm:f>'TASK 6'!B20:G20</xm:f>
              <xm:sqref>H20</xm:sqref>
            </x14:sparkline>
            <x14:sparkline>
              <xm:f>'TASK 6'!B21:G21</xm:f>
              <xm:sqref>H21</xm:sqref>
            </x14:sparkline>
            <x14:sparkline>
              <xm:f>'TASK 6'!B22:G22</xm:f>
              <xm:sqref>H22</xm:sqref>
            </x14:sparkline>
            <x14:sparkline>
              <xm:f>'TASK 6'!B23:G23</xm:f>
              <xm:sqref>H23</xm:sqref>
            </x14:sparkline>
            <x14:sparkline>
              <xm:f>'TASK 6'!B24:G24</xm:f>
              <xm:sqref>H24</xm:sqref>
            </x14:sparkline>
            <x14:sparkline>
              <xm:f>'TASK 6'!B25:G25</xm:f>
              <xm:sqref>H25</xm:sqref>
            </x14:sparkline>
            <x14:sparkline>
              <xm:f>'TASK 6'!B26:G26</xm:f>
              <xm:sqref>H26</xm:sqref>
            </x14:sparkline>
            <x14:sparkline>
              <xm:f>'TASK 6'!B27:G27</xm:f>
              <xm:sqref>H27</xm:sqref>
            </x14:sparkline>
            <x14:sparkline>
              <xm:f>'TASK 6'!B28:G28</xm:f>
              <xm:sqref>H28</xm:sqref>
            </x14:sparkline>
            <x14:sparkline>
              <xm:f>'TASK 6'!B29:G29</xm:f>
              <xm:sqref>H29</xm:sqref>
            </x14:sparkline>
            <x14:sparkline>
              <xm:f>'TASK 6'!B30:G30</xm:f>
              <xm:sqref>H30</xm:sqref>
            </x14:sparkline>
            <x14:sparkline>
              <xm:f>'TASK 6'!B31:G31</xm:f>
              <xm:sqref>H31</xm:sqref>
            </x14:sparkline>
            <x14:sparkline>
              <xm:f>'TASK 6'!B32:G32</xm:f>
              <xm:sqref>H32</xm:sqref>
            </x14:sparkline>
            <x14:sparkline>
              <xm:f>'TASK 6'!B33:G33</xm:f>
              <xm:sqref>H33</xm:sqref>
            </x14:sparkline>
            <x14:sparkline>
              <xm:f>'TASK 6'!B34:G34</xm:f>
              <xm:sqref>H34</xm:sqref>
            </x14:sparkline>
            <x14:sparkline>
              <xm:f>'TASK 6'!B35:G35</xm:f>
              <xm:sqref>H35</xm:sqref>
            </x14:sparkline>
            <x14:sparkline>
              <xm:f>'TASK 6'!B36:G36</xm:f>
              <xm:sqref>H36</xm:sqref>
            </x14:sparkline>
            <x14:sparkline>
              <xm:f>'TASK 6'!B37:G37</xm:f>
              <xm:sqref>H37</xm:sqref>
            </x14:sparkline>
            <x14:sparkline>
              <xm:f>'TASK 6'!B38:G38</xm:f>
              <xm:sqref>H38</xm:sqref>
            </x14:sparkline>
            <x14:sparkline>
              <xm:f>'TASK 6'!B39:G39</xm:f>
              <xm:sqref>H39</xm:sqref>
            </x14:sparkline>
            <x14:sparkline>
              <xm:f>'TASK 6'!B40:G40</xm:f>
              <xm:sqref>H40</xm:sqref>
            </x14:sparkline>
            <x14:sparkline>
              <xm:f>'TASK 6'!B41:G41</xm:f>
              <xm:sqref>H41</xm:sqref>
            </x14:sparkline>
          </x14:sparklines>
        </x14:sparklineGroup>
        <x14:sparklineGroup manualMax="0" manualMin="0" type="column" displayEmptyCellsAs="gap" xr2:uid="{164FB4CF-F8AD-435B-A855-72824631235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'TASK 6'!B5:G5</xm:f>
              <xm:sqref>I5</xm:sqref>
            </x14:sparkline>
            <x14:sparkline>
              <xm:f>'TASK 6'!B6:G6</xm:f>
              <xm:sqref>I6</xm:sqref>
            </x14:sparkline>
            <x14:sparkline>
              <xm:f>'TASK 6'!B7:G7</xm:f>
              <xm:sqref>I7</xm:sqref>
            </x14:sparkline>
            <x14:sparkline>
              <xm:f>'TASK 6'!B8:G8</xm:f>
              <xm:sqref>I8</xm:sqref>
            </x14:sparkline>
            <x14:sparkline>
              <xm:f>'TASK 6'!B9:G9</xm:f>
              <xm:sqref>I9</xm:sqref>
            </x14:sparkline>
            <x14:sparkline>
              <xm:f>'TASK 6'!B10:G10</xm:f>
              <xm:sqref>I10</xm:sqref>
            </x14:sparkline>
            <x14:sparkline>
              <xm:f>'TASK 6'!B11:G11</xm:f>
              <xm:sqref>I11</xm:sqref>
            </x14:sparkline>
            <x14:sparkline>
              <xm:f>'TASK 6'!B12:G12</xm:f>
              <xm:sqref>I12</xm:sqref>
            </x14:sparkline>
            <x14:sparkline>
              <xm:f>'TASK 6'!B13:G13</xm:f>
              <xm:sqref>I13</xm:sqref>
            </x14:sparkline>
            <x14:sparkline>
              <xm:f>'TASK 6'!B14:G14</xm:f>
              <xm:sqref>I14</xm:sqref>
            </x14:sparkline>
            <x14:sparkline>
              <xm:f>'TASK 6'!B15:G15</xm:f>
              <xm:sqref>I15</xm:sqref>
            </x14:sparkline>
            <x14:sparkline>
              <xm:f>'TASK 6'!B16:G16</xm:f>
              <xm:sqref>I16</xm:sqref>
            </x14:sparkline>
            <x14:sparkline>
              <xm:f>'TASK 6'!B17:G17</xm:f>
              <xm:sqref>I17</xm:sqref>
            </x14:sparkline>
            <x14:sparkline>
              <xm:f>'TASK 6'!B18:G18</xm:f>
              <xm:sqref>I18</xm:sqref>
            </x14:sparkline>
            <x14:sparkline>
              <xm:f>'TASK 6'!B19:G19</xm:f>
              <xm:sqref>I19</xm:sqref>
            </x14:sparkline>
            <x14:sparkline>
              <xm:f>'TASK 6'!B20:G20</xm:f>
              <xm:sqref>I20</xm:sqref>
            </x14:sparkline>
            <x14:sparkline>
              <xm:f>'TASK 6'!B21:G21</xm:f>
              <xm:sqref>I21</xm:sqref>
            </x14:sparkline>
            <x14:sparkline>
              <xm:f>'TASK 6'!B22:G22</xm:f>
              <xm:sqref>I22</xm:sqref>
            </x14:sparkline>
            <x14:sparkline>
              <xm:f>'TASK 6'!B23:G23</xm:f>
              <xm:sqref>I23</xm:sqref>
            </x14:sparkline>
            <x14:sparkline>
              <xm:f>'TASK 6'!B24:G24</xm:f>
              <xm:sqref>I24</xm:sqref>
            </x14:sparkline>
            <x14:sparkline>
              <xm:f>'TASK 6'!B25:G25</xm:f>
              <xm:sqref>I25</xm:sqref>
            </x14:sparkline>
            <x14:sparkline>
              <xm:f>'TASK 6'!B26:G26</xm:f>
              <xm:sqref>I26</xm:sqref>
            </x14:sparkline>
            <x14:sparkline>
              <xm:f>'TASK 6'!B27:G27</xm:f>
              <xm:sqref>I27</xm:sqref>
            </x14:sparkline>
            <x14:sparkline>
              <xm:f>'TASK 6'!B28:G28</xm:f>
              <xm:sqref>I28</xm:sqref>
            </x14:sparkline>
            <x14:sparkline>
              <xm:f>'TASK 6'!B29:G29</xm:f>
              <xm:sqref>I29</xm:sqref>
            </x14:sparkline>
            <x14:sparkline>
              <xm:f>'TASK 6'!B30:G30</xm:f>
              <xm:sqref>I30</xm:sqref>
            </x14:sparkline>
            <x14:sparkline>
              <xm:f>'TASK 6'!B31:G31</xm:f>
              <xm:sqref>I31</xm:sqref>
            </x14:sparkline>
            <x14:sparkline>
              <xm:f>'TASK 6'!B32:G32</xm:f>
              <xm:sqref>I32</xm:sqref>
            </x14:sparkline>
            <x14:sparkline>
              <xm:f>'TASK 6'!B33:G33</xm:f>
              <xm:sqref>I33</xm:sqref>
            </x14:sparkline>
            <x14:sparkline>
              <xm:f>'TASK 6'!B34:G34</xm:f>
              <xm:sqref>I34</xm:sqref>
            </x14:sparkline>
            <x14:sparkline>
              <xm:f>'TASK 6'!B35:G35</xm:f>
              <xm:sqref>I35</xm:sqref>
            </x14:sparkline>
            <x14:sparkline>
              <xm:f>'TASK 6'!B36:G36</xm:f>
              <xm:sqref>I36</xm:sqref>
            </x14:sparkline>
            <x14:sparkline>
              <xm:f>'TASK 6'!B37:G37</xm:f>
              <xm:sqref>I37</xm:sqref>
            </x14:sparkline>
            <x14:sparkline>
              <xm:f>'TASK 6'!B38:G38</xm:f>
              <xm:sqref>I38</xm:sqref>
            </x14:sparkline>
            <x14:sparkline>
              <xm:f>'TASK 6'!B39:G39</xm:f>
              <xm:sqref>I39</xm:sqref>
            </x14:sparkline>
            <x14:sparkline>
              <xm:f>'TASK 6'!B40:G40</xm:f>
              <xm:sqref>I40</xm:sqref>
            </x14:sparkline>
            <x14:sparkline>
              <xm:f>'TASK 6'!B41:G41</xm:f>
              <xm:sqref>I41</xm:sqref>
            </x14:sparkline>
          </x14:sparklines>
        </x14:sparklineGroup>
        <x14:sparklineGroup manualMax="0" manualMin="0" type="stacked" displayEmptyCellsAs="gap" high="1" low="1" first="1" last="1" negative="1" xr2:uid="{30375938-5F1A-496B-A564-28373ABD7B9F}">
          <x14:colorSeries rgb="FF0070C0"/>
          <x14:colorNegative rgb="FFFF0000"/>
          <x14:colorAxis rgb="FF000000"/>
          <x14:colorMarkers rgb="FF000000"/>
          <x14:colorFirst rgb="FF92D050"/>
          <x14:colorLast theme="9" tint="-0.249977111117893"/>
          <x14:colorHigh rgb="FF002060"/>
          <x14:colorLow rgb="FFFFC000"/>
          <x14:sparklines>
            <x14:sparkline>
              <xm:f>'TASK 6'!B5:G5</xm:f>
              <xm:sqref>J5</xm:sqref>
            </x14:sparkline>
            <x14:sparkline>
              <xm:f>'TASK 6'!B6:G6</xm:f>
              <xm:sqref>J6</xm:sqref>
            </x14:sparkline>
            <x14:sparkline>
              <xm:f>'TASK 6'!B7:G7</xm:f>
              <xm:sqref>J7</xm:sqref>
            </x14:sparkline>
            <x14:sparkline>
              <xm:f>'TASK 6'!B8:G8</xm:f>
              <xm:sqref>J8</xm:sqref>
            </x14:sparkline>
            <x14:sparkline>
              <xm:f>'TASK 6'!B9:G9</xm:f>
              <xm:sqref>J9</xm:sqref>
            </x14:sparkline>
            <x14:sparkline>
              <xm:f>'TASK 6'!B10:G10</xm:f>
              <xm:sqref>J10</xm:sqref>
            </x14:sparkline>
            <x14:sparkline>
              <xm:f>'TASK 6'!B11:G11</xm:f>
              <xm:sqref>J11</xm:sqref>
            </x14:sparkline>
            <x14:sparkline>
              <xm:f>'TASK 6'!B12:G12</xm:f>
              <xm:sqref>J12</xm:sqref>
            </x14:sparkline>
            <x14:sparkline>
              <xm:f>'TASK 6'!B13:G13</xm:f>
              <xm:sqref>J13</xm:sqref>
            </x14:sparkline>
            <x14:sparkline>
              <xm:f>'TASK 6'!B14:G14</xm:f>
              <xm:sqref>J14</xm:sqref>
            </x14:sparkline>
            <x14:sparkline>
              <xm:f>'TASK 6'!B15:G15</xm:f>
              <xm:sqref>J15</xm:sqref>
            </x14:sparkline>
            <x14:sparkline>
              <xm:f>'TASK 6'!B16:G16</xm:f>
              <xm:sqref>J16</xm:sqref>
            </x14:sparkline>
            <x14:sparkline>
              <xm:f>'TASK 6'!B17:G17</xm:f>
              <xm:sqref>J17</xm:sqref>
            </x14:sparkline>
            <x14:sparkline>
              <xm:f>'TASK 6'!B18:G18</xm:f>
              <xm:sqref>J18</xm:sqref>
            </x14:sparkline>
            <x14:sparkline>
              <xm:f>'TASK 6'!B19:G19</xm:f>
              <xm:sqref>J19</xm:sqref>
            </x14:sparkline>
            <x14:sparkline>
              <xm:f>'TASK 6'!B20:G20</xm:f>
              <xm:sqref>J20</xm:sqref>
            </x14:sparkline>
            <x14:sparkline>
              <xm:f>'TASK 6'!B21:G21</xm:f>
              <xm:sqref>J21</xm:sqref>
            </x14:sparkline>
            <x14:sparkline>
              <xm:f>'TASK 6'!B22:G22</xm:f>
              <xm:sqref>J22</xm:sqref>
            </x14:sparkline>
            <x14:sparkline>
              <xm:f>'TASK 6'!B23:G23</xm:f>
              <xm:sqref>J23</xm:sqref>
            </x14:sparkline>
            <x14:sparkline>
              <xm:f>'TASK 6'!B24:G24</xm:f>
              <xm:sqref>J24</xm:sqref>
            </x14:sparkline>
            <x14:sparkline>
              <xm:f>'TASK 6'!B25:G25</xm:f>
              <xm:sqref>J25</xm:sqref>
            </x14:sparkline>
            <x14:sparkline>
              <xm:f>'TASK 6'!B26:G26</xm:f>
              <xm:sqref>J26</xm:sqref>
            </x14:sparkline>
            <x14:sparkline>
              <xm:f>'TASK 6'!B27:G27</xm:f>
              <xm:sqref>J27</xm:sqref>
            </x14:sparkline>
            <x14:sparkline>
              <xm:f>'TASK 6'!B28:G28</xm:f>
              <xm:sqref>J28</xm:sqref>
            </x14:sparkline>
            <x14:sparkline>
              <xm:f>'TASK 6'!B29:G29</xm:f>
              <xm:sqref>J29</xm:sqref>
            </x14:sparkline>
            <x14:sparkline>
              <xm:f>'TASK 6'!B30:G30</xm:f>
              <xm:sqref>J30</xm:sqref>
            </x14:sparkline>
            <x14:sparkline>
              <xm:f>'TASK 6'!B31:G31</xm:f>
              <xm:sqref>J31</xm:sqref>
            </x14:sparkline>
            <x14:sparkline>
              <xm:f>'TASK 6'!B32:G32</xm:f>
              <xm:sqref>J32</xm:sqref>
            </x14:sparkline>
            <x14:sparkline>
              <xm:f>'TASK 6'!B33:G33</xm:f>
              <xm:sqref>J33</xm:sqref>
            </x14:sparkline>
            <x14:sparkline>
              <xm:f>'TASK 6'!B34:G34</xm:f>
              <xm:sqref>J34</xm:sqref>
            </x14:sparkline>
            <x14:sparkline>
              <xm:f>'TASK 6'!B35:G35</xm:f>
              <xm:sqref>J35</xm:sqref>
            </x14:sparkline>
            <x14:sparkline>
              <xm:f>'TASK 6'!B36:G36</xm:f>
              <xm:sqref>J36</xm:sqref>
            </x14:sparkline>
            <x14:sparkline>
              <xm:f>'TASK 6'!B37:G37</xm:f>
              <xm:sqref>J37</xm:sqref>
            </x14:sparkline>
            <x14:sparkline>
              <xm:f>'TASK 6'!B38:G38</xm:f>
              <xm:sqref>J38</xm:sqref>
            </x14:sparkline>
            <x14:sparkline>
              <xm:f>'TASK 6'!B39:G39</xm:f>
              <xm:sqref>J39</xm:sqref>
            </x14:sparkline>
            <x14:sparkline>
              <xm:f>'TASK 6'!B40:G40</xm:f>
              <xm:sqref>J40</xm:sqref>
            </x14:sparkline>
            <x14:sparkline>
              <xm:f>'TASK 6'!B41:G41</xm:f>
              <xm:sqref>J41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5D5A1-819B-4352-885C-BDB61F367CDD}">
  <dimension ref="A1:J37"/>
  <sheetViews>
    <sheetView workbookViewId="0">
      <selection activeCell="M38" sqref="M38"/>
    </sheetView>
  </sheetViews>
  <sheetFormatPr defaultRowHeight="15" x14ac:dyDescent="0.25"/>
  <cols>
    <col min="1" max="1" width="17.28515625" bestFit="1" customWidth="1"/>
    <col min="2" max="2" width="16.28515625" bestFit="1" customWidth="1"/>
    <col min="3" max="3" width="11" bestFit="1" customWidth="1"/>
    <col min="4" max="4" width="10" bestFit="1" customWidth="1"/>
    <col min="5" max="5" width="9" bestFit="1" customWidth="1"/>
    <col min="6" max="6" width="11.28515625" bestFit="1" customWidth="1"/>
    <col min="7" max="7" width="5" bestFit="1" customWidth="1"/>
    <col min="8" max="8" width="5.5703125" bestFit="1" customWidth="1"/>
    <col min="9" max="9" width="11.28515625" bestFit="1" customWidth="1"/>
    <col min="10" max="10" width="12.28515625" bestFit="1" customWidth="1"/>
    <col min="11" max="11" width="17.5703125" bestFit="1" customWidth="1"/>
    <col min="12" max="12" width="12.28515625" bestFit="1" customWidth="1"/>
    <col min="13" max="13" width="17.5703125" bestFit="1" customWidth="1"/>
    <col min="14" max="14" width="12.28515625" bestFit="1" customWidth="1"/>
    <col min="15" max="15" width="17.5703125" bestFit="1" customWidth="1"/>
    <col min="16" max="16" width="17.42578125" bestFit="1" customWidth="1"/>
    <col min="17" max="17" width="22.5703125" bestFit="1" customWidth="1"/>
    <col min="18" max="19" width="7.42578125" bestFit="1" customWidth="1"/>
    <col min="20" max="20" width="8.28515625" bestFit="1" customWidth="1"/>
    <col min="21" max="21" width="7.85546875" bestFit="1" customWidth="1"/>
    <col min="22" max="22" width="7.5703125" bestFit="1" customWidth="1"/>
    <col min="23" max="23" width="15.140625" bestFit="1" customWidth="1"/>
    <col min="24" max="24" width="10.5703125" bestFit="1" customWidth="1"/>
    <col min="25" max="26" width="7.42578125" bestFit="1" customWidth="1"/>
    <col min="27" max="27" width="7.5703125" bestFit="1" customWidth="1"/>
    <col min="28" max="28" width="13.7109375" bestFit="1" customWidth="1"/>
    <col min="29" max="30" width="7.42578125" bestFit="1" customWidth="1"/>
    <col min="31" max="31" width="8.28515625" bestFit="1" customWidth="1"/>
    <col min="32" max="32" width="7.85546875" bestFit="1" customWidth="1"/>
    <col min="33" max="33" width="7.5703125" bestFit="1" customWidth="1"/>
    <col min="34" max="34" width="9.85546875" bestFit="1" customWidth="1"/>
    <col min="35" max="35" width="7.7109375" bestFit="1" customWidth="1"/>
    <col min="36" max="37" width="7.42578125" bestFit="1" customWidth="1"/>
    <col min="38" max="38" width="7.5703125" bestFit="1" customWidth="1"/>
    <col min="39" max="39" width="10.42578125" bestFit="1" customWidth="1"/>
    <col min="40" max="40" width="11.28515625" bestFit="1" customWidth="1"/>
  </cols>
  <sheetData>
    <row r="1" spans="1:10" ht="18.75" x14ac:dyDescent="0.3">
      <c r="A1" s="17" t="s">
        <v>11</v>
      </c>
      <c r="B1" t="s">
        <v>158</v>
      </c>
      <c r="C1" s="44" t="s">
        <v>167</v>
      </c>
      <c r="D1" s="44"/>
      <c r="E1" s="44"/>
      <c r="F1" s="44"/>
      <c r="G1" s="44"/>
      <c r="H1" s="44"/>
      <c r="I1" s="44"/>
      <c r="J1" s="44"/>
    </row>
    <row r="3" spans="1:10" x14ac:dyDescent="0.25">
      <c r="A3" s="17" t="s">
        <v>149</v>
      </c>
      <c r="B3" s="17" t="s">
        <v>151</v>
      </c>
    </row>
    <row r="4" spans="1:10" x14ac:dyDescent="0.25">
      <c r="A4" s="17" t="s">
        <v>147</v>
      </c>
      <c r="B4" t="s">
        <v>30</v>
      </c>
      <c r="C4" t="s">
        <v>59</v>
      </c>
      <c r="D4" t="s">
        <v>41</v>
      </c>
      <c r="E4" t="s">
        <v>50</v>
      </c>
      <c r="F4" t="s">
        <v>148</v>
      </c>
    </row>
    <row r="5" spans="1:10" x14ac:dyDescent="0.25">
      <c r="A5" s="19" t="s">
        <v>40</v>
      </c>
      <c r="B5" s="18"/>
      <c r="C5" s="18"/>
      <c r="D5" s="18">
        <v>449485.5</v>
      </c>
      <c r="E5" s="18"/>
      <c r="F5" s="18">
        <v>449485.5</v>
      </c>
    </row>
    <row r="6" spans="1:10" x14ac:dyDescent="0.25">
      <c r="A6" s="19" t="s">
        <v>66</v>
      </c>
      <c r="B6" s="18"/>
      <c r="C6" s="18"/>
      <c r="D6" s="18">
        <v>125536.05000000002</v>
      </c>
      <c r="E6" s="18"/>
      <c r="F6" s="18">
        <v>125536.05000000002</v>
      </c>
    </row>
    <row r="7" spans="1:10" x14ac:dyDescent="0.25">
      <c r="A7" s="19" t="s">
        <v>29</v>
      </c>
      <c r="B7" s="18">
        <v>1581977.4</v>
      </c>
      <c r="C7" s="18"/>
      <c r="D7" s="18"/>
      <c r="E7" s="18"/>
      <c r="F7" s="18">
        <v>1581977.4</v>
      </c>
    </row>
    <row r="8" spans="1:10" x14ac:dyDescent="0.25">
      <c r="A8" s="19" t="s">
        <v>58</v>
      </c>
      <c r="B8" s="18"/>
      <c r="C8" s="18">
        <v>1028963.25</v>
      </c>
      <c r="D8" s="18"/>
      <c r="E8" s="18"/>
      <c r="F8" s="18">
        <v>1028963.25</v>
      </c>
    </row>
    <row r="9" spans="1:10" x14ac:dyDescent="0.25">
      <c r="A9" s="19" t="s">
        <v>49</v>
      </c>
      <c r="B9" s="18"/>
      <c r="C9" s="18"/>
      <c r="D9" s="18"/>
      <c r="E9" s="18">
        <v>234586.2</v>
      </c>
      <c r="F9" s="18">
        <v>234586.2</v>
      </c>
    </row>
    <row r="10" spans="1:10" x14ac:dyDescent="0.25">
      <c r="A10" s="19" t="s">
        <v>148</v>
      </c>
      <c r="B10" s="18">
        <v>1581977.4</v>
      </c>
      <c r="C10" s="18">
        <v>1028963.25</v>
      </c>
      <c r="D10" s="18">
        <v>575021.55000000005</v>
      </c>
      <c r="E10" s="18">
        <v>234586.2</v>
      </c>
      <c r="F10" s="18">
        <v>3420548.4000000004</v>
      </c>
    </row>
    <row r="16" spans="1:10" x14ac:dyDescent="0.25">
      <c r="A16" s="17" t="s">
        <v>5</v>
      </c>
      <c r="B16" t="s">
        <v>158</v>
      </c>
    </row>
    <row r="18" spans="1:9" x14ac:dyDescent="0.25">
      <c r="A18" s="17" t="s">
        <v>157</v>
      </c>
      <c r="B18" s="17" t="s">
        <v>151</v>
      </c>
    </row>
    <row r="19" spans="1:9" x14ac:dyDescent="0.25">
      <c r="A19" s="17" t="s">
        <v>147</v>
      </c>
      <c r="B19" t="s">
        <v>82</v>
      </c>
      <c r="C19" t="s">
        <v>87</v>
      </c>
      <c r="D19" t="s">
        <v>79</v>
      </c>
      <c r="E19" t="s">
        <v>47</v>
      </c>
      <c r="F19" t="s">
        <v>91</v>
      </c>
      <c r="G19" t="s">
        <v>56</v>
      </c>
      <c r="H19" t="s">
        <v>25</v>
      </c>
      <c r="I19" t="s">
        <v>148</v>
      </c>
    </row>
    <row r="20" spans="1:9" x14ac:dyDescent="0.25">
      <c r="A20" s="19" t="s">
        <v>97</v>
      </c>
      <c r="B20" s="18">
        <v>69</v>
      </c>
      <c r="C20" s="18"/>
      <c r="D20" s="18"/>
      <c r="E20" s="18"/>
      <c r="F20" s="18"/>
      <c r="G20" s="18"/>
      <c r="H20" s="18"/>
      <c r="I20" s="18">
        <v>69</v>
      </c>
    </row>
    <row r="21" spans="1:9" x14ac:dyDescent="0.25">
      <c r="A21" s="19" t="s">
        <v>95</v>
      </c>
      <c r="B21" s="18">
        <v>72</v>
      </c>
      <c r="C21" s="18"/>
      <c r="D21" s="18"/>
      <c r="E21" s="18"/>
      <c r="F21" s="18"/>
      <c r="G21" s="18"/>
      <c r="H21" s="18"/>
      <c r="I21" s="18">
        <v>72</v>
      </c>
    </row>
    <row r="22" spans="1:9" x14ac:dyDescent="0.25">
      <c r="A22" s="19" t="s">
        <v>76</v>
      </c>
      <c r="B22" s="18"/>
      <c r="C22" s="18"/>
      <c r="D22" s="18"/>
      <c r="E22" s="18">
        <v>63</v>
      </c>
      <c r="F22" s="18"/>
      <c r="G22" s="18"/>
      <c r="H22" s="18"/>
      <c r="I22" s="18">
        <v>63</v>
      </c>
    </row>
    <row r="23" spans="1:9" x14ac:dyDescent="0.25">
      <c r="A23" s="19" t="s">
        <v>46</v>
      </c>
      <c r="B23" s="18"/>
      <c r="C23" s="18"/>
      <c r="D23" s="18"/>
      <c r="E23" s="18">
        <v>69</v>
      </c>
      <c r="F23" s="18"/>
      <c r="G23" s="18"/>
      <c r="H23" s="18"/>
      <c r="I23" s="18">
        <v>69</v>
      </c>
    </row>
    <row r="24" spans="1:9" x14ac:dyDescent="0.25">
      <c r="A24" s="19" t="s">
        <v>78</v>
      </c>
      <c r="B24" s="18"/>
      <c r="C24" s="18"/>
      <c r="D24" s="18">
        <v>78</v>
      </c>
      <c r="E24" s="18"/>
      <c r="F24" s="18"/>
      <c r="G24" s="18"/>
      <c r="H24" s="18"/>
      <c r="I24" s="18">
        <v>78</v>
      </c>
    </row>
    <row r="25" spans="1:9" x14ac:dyDescent="0.25">
      <c r="A25" s="19" t="s">
        <v>63</v>
      </c>
      <c r="B25" s="18"/>
      <c r="C25" s="18"/>
      <c r="D25" s="18"/>
      <c r="E25" s="18"/>
      <c r="F25" s="18"/>
      <c r="G25" s="18">
        <v>66</v>
      </c>
      <c r="H25" s="18"/>
      <c r="I25" s="18">
        <v>66</v>
      </c>
    </row>
    <row r="26" spans="1:9" x14ac:dyDescent="0.25">
      <c r="A26" s="19" t="s">
        <v>90</v>
      </c>
      <c r="B26" s="18"/>
      <c r="C26" s="18"/>
      <c r="D26" s="18"/>
      <c r="E26" s="18"/>
      <c r="F26" s="18">
        <v>60</v>
      </c>
      <c r="G26" s="18"/>
      <c r="H26" s="18"/>
      <c r="I26" s="18">
        <v>60</v>
      </c>
    </row>
    <row r="27" spans="1:9" x14ac:dyDescent="0.25">
      <c r="A27" s="19" t="s">
        <v>84</v>
      </c>
      <c r="B27" s="18"/>
      <c r="C27" s="18"/>
      <c r="D27" s="18">
        <v>81</v>
      </c>
      <c r="E27" s="18"/>
      <c r="F27" s="18"/>
      <c r="G27" s="18"/>
      <c r="H27" s="18"/>
      <c r="I27" s="18">
        <v>81</v>
      </c>
    </row>
    <row r="28" spans="1:9" x14ac:dyDescent="0.25">
      <c r="A28" s="19" t="s">
        <v>71</v>
      </c>
      <c r="B28" s="18"/>
      <c r="C28" s="18"/>
      <c r="D28" s="18"/>
      <c r="E28" s="18"/>
      <c r="F28" s="18"/>
      <c r="G28" s="18">
        <v>72</v>
      </c>
      <c r="H28" s="18"/>
      <c r="I28" s="18">
        <v>72</v>
      </c>
    </row>
    <row r="29" spans="1:9" x14ac:dyDescent="0.25">
      <c r="A29" s="19" t="s">
        <v>74</v>
      </c>
      <c r="B29" s="18"/>
      <c r="C29" s="18"/>
      <c r="D29" s="18"/>
      <c r="E29" s="18"/>
      <c r="F29" s="18"/>
      <c r="G29" s="18"/>
      <c r="H29" s="18">
        <v>81</v>
      </c>
      <c r="I29" s="18">
        <v>81</v>
      </c>
    </row>
    <row r="30" spans="1:9" x14ac:dyDescent="0.25">
      <c r="A30" s="19" t="s">
        <v>99</v>
      </c>
      <c r="B30" s="18"/>
      <c r="C30" s="18"/>
      <c r="D30" s="18"/>
      <c r="E30" s="18">
        <v>52</v>
      </c>
      <c r="F30" s="18"/>
      <c r="G30" s="18"/>
      <c r="H30" s="18"/>
      <c r="I30" s="18">
        <v>52</v>
      </c>
    </row>
    <row r="31" spans="1:9" x14ac:dyDescent="0.25">
      <c r="A31" s="19" t="s">
        <v>93</v>
      </c>
      <c r="B31" s="18"/>
      <c r="C31" s="18"/>
      <c r="D31" s="18"/>
      <c r="E31" s="18"/>
      <c r="F31" s="18">
        <v>66</v>
      </c>
      <c r="G31" s="18"/>
      <c r="H31" s="18"/>
      <c r="I31" s="18">
        <v>66</v>
      </c>
    </row>
    <row r="32" spans="1:9" x14ac:dyDescent="0.25">
      <c r="A32" s="19" t="s">
        <v>24</v>
      </c>
      <c r="B32" s="18"/>
      <c r="C32" s="18"/>
      <c r="D32" s="18"/>
      <c r="E32" s="18"/>
      <c r="F32" s="18"/>
      <c r="G32" s="18"/>
      <c r="H32" s="18">
        <v>75</v>
      </c>
      <c r="I32" s="18">
        <v>75</v>
      </c>
    </row>
    <row r="33" spans="1:9" x14ac:dyDescent="0.25">
      <c r="A33" s="19" t="s">
        <v>55</v>
      </c>
      <c r="B33" s="18"/>
      <c r="C33" s="18"/>
      <c r="D33" s="18"/>
      <c r="E33" s="18"/>
      <c r="F33" s="18"/>
      <c r="G33" s="18">
        <v>78</v>
      </c>
      <c r="H33" s="18"/>
      <c r="I33" s="18">
        <v>78</v>
      </c>
    </row>
    <row r="34" spans="1:9" x14ac:dyDescent="0.25">
      <c r="A34" s="19" t="s">
        <v>86</v>
      </c>
      <c r="B34" s="18"/>
      <c r="C34" s="18">
        <v>84</v>
      </c>
      <c r="D34" s="18"/>
      <c r="E34" s="18"/>
      <c r="F34" s="18"/>
      <c r="G34" s="18"/>
      <c r="H34" s="18"/>
      <c r="I34" s="18">
        <v>84</v>
      </c>
    </row>
    <row r="35" spans="1:9" x14ac:dyDescent="0.25">
      <c r="A35" s="19" t="s">
        <v>81</v>
      </c>
      <c r="B35" s="18">
        <v>75</v>
      </c>
      <c r="C35" s="18"/>
      <c r="D35" s="18"/>
      <c r="E35" s="18"/>
      <c r="F35" s="18"/>
      <c r="G35" s="18"/>
      <c r="H35" s="18"/>
      <c r="I35" s="18">
        <v>75</v>
      </c>
    </row>
    <row r="36" spans="1:9" x14ac:dyDescent="0.25">
      <c r="A36" s="19" t="s">
        <v>36</v>
      </c>
      <c r="B36" s="18"/>
      <c r="C36" s="18"/>
      <c r="D36" s="18"/>
      <c r="E36" s="18"/>
      <c r="F36" s="18"/>
      <c r="G36" s="18"/>
      <c r="H36" s="18">
        <v>72</v>
      </c>
      <c r="I36" s="18">
        <v>72</v>
      </c>
    </row>
    <row r="37" spans="1:9" x14ac:dyDescent="0.25">
      <c r="A37" s="19" t="s">
        <v>148</v>
      </c>
      <c r="B37" s="18">
        <v>216</v>
      </c>
      <c r="C37" s="18">
        <v>84</v>
      </c>
      <c r="D37" s="18">
        <v>159</v>
      </c>
      <c r="E37" s="18">
        <v>184</v>
      </c>
      <c r="F37" s="18">
        <v>126</v>
      </c>
      <c r="G37" s="18">
        <v>216</v>
      </c>
      <c r="H37" s="18">
        <v>228</v>
      </c>
      <c r="I37" s="18">
        <v>1213</v>
      </c>
    </row>
  </sheetData>
  <mergeCells count="1">
    <mergeCell ref="C1:J1"/>
  </mergeCell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3EB83-767D-4E1B-8257-1804F1FA1853}">
  <dimension ref="A1:AA52"/>
  <sheetViews>
    <sheetView topLeftCell="Q1" workbookViewId="0">
      <selection activeCell="Y3" sqref="Y3"/>
    </sheetView>
  </sheetViews>
  <sheetFormatPr defaultRowHeight="15" x14ac:dyDescent="0.25"/>
  <cols>
    <col min="1" max="16" width="10.7109375" customWidth="1"/>
    <col min="17" max="17" width="12.42578125" customWidth="1"/>
    <col min="18" max="23" width="10.7109375" customWidth="1"/>
    <col min="25" max="26" width="13.7109375" customWidth="1"/>
    <col min="27" max="27" width="16.7109375" customWidth="1"/>
    <col min="28" max="28" width="13.7109375" customWidth="1"/>
  </cols>
  <sheetData>
    <row r="1" spans="1:27" ht="18.75" x14ac:dyDescent="0.3">
      <c r="Y1" s="47" t="s">
        <v>173</v>
      </c>
      <c r="Z1" s="48"/>
      <c r="AA1" s="48"/>
    </row>
    <row r="2" spans="1:27" ht="17.10000000000000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Y2" s="22" t="s">
        <v>0</v>
      </c>
      <c r="Z2" s="23" t="s">
        <v>22</v>
      </c>
      <c r="AA2" s="23" t="s">
        <v>20</v>
      </c>
    </row>
    <row r="3" spans="1:27" ht="17.100000000000001" customHeight="1" x14ac:dyDescent="0.25">
      <c r="A3" s="3" t="s">
        <v>23</v>
      </c>
      <c r="B3" s="3">
        <v>101</v>
      </c>
      <c r="C3" s="3" t="s">
        <v>24</v>
      </c>
      <c r="D3" s="3" t="s">
        <v>25</v>
      </c>
      <c r="E3" s="3" t="s">
        <v>26</v>
      </c>
      <c r="F3" s="3" t="s">
        <v>27</v>
      </c>
      <c r="G3" s="4">
        <v>45662</v>
      </c>
      <c r="H3" s="3">
        <v>25</v>
      </c>
      <c r="I3" s="3" t="s">
        <v>28</v>
      </c>
      <c r="J3" s="3" t="s">
        <v>29</v>
      </c>
      <c r="K3" s="3" t="s">
        <v>30</v>
      </c>
      <c r="L3" s="3" t="s">
        <v>31</v>
      </c>
      <c r="M3" s="4">
        <v>46027</v>
      </c>
      <c r="N3" s="3">
        <v>1</v>
      </c>
      <c r="O3" s="5">
        <v>69999</v>
      </c>
      <c r="P3" s="3">
        <v>0</v>
      </c>
      <c r="Q3" s="5">
        <v>69999</v>
      </c>
      <c r="R3" s="5">
        <v>0</v>
      </c>
      <c r="S3" s="5">
        <v>69999</v>
      </c>
      <c r="T3" s="5">
        <v>6999.9000000000005</v>
      </c>
      <c r="U3" s="3" t="s">
        <v>32</v>
      </c>
      <c r="V3" s="3" t="s">
        <v>33</v>
      </c>
      <c r="W3" s="3" t="s">
        <v>34</v>
      </c>
      <c r="Y3" s="6" t="s">
        <v>23</v>
      </c>
      <c r="Z3" s="6" t="str" cm="1">
        <f t="array" ref="Z3:Z52">VLOOKUP(Y3:Y52,A2:W52,23,FALSE)</f>
        <v>ABC Ltd</v>
      </c>
      <c r="AA3" s="6" t="str" cm="1">
        <f t="array" ref="AA3:AA52">VLOOKUP(Y3:Y52,A2:W52,21,FALSE)</f>
        <v>Cash</v>
      </c>
    </row>
    <row r="4" spans="1:27" ht="17.100000000000001" customHeight="1" x14ac:dyDescent="0.25">
      <c r="A4" s="3" t="s">
        <v>35</v>
      </c>
      <c r="B4" s="3">
        <v>102</v>
      </c>
      <c r="C4" s="3" t="s">
        <v>36</v>
      </c>
      <c r="D4" s="3" t="s">
        <v>25</v>
      </c>
      <c r="E4" s="3" t="s">
        <v>37</v>
      </c>
      <c r="F4" s="3" t="s">
        <v>38</v>
      </c>
      <c r="G4" s="4">
        <v>45665</v>
      </c>
      <c r="H4" s="3">
        <v>24</v>
      </c>
      <c r="I4" s="3" t="s">
        <v>39</v>
      </c>
      <c r="J4" s="3" t="s">
        <v>40</v>
      </c>
      <c r="K4" s="3" t="s">
        <v>41</v>
      </c>
      <c r="L4" s="3" t="s">
        <v>31</v>
      </c>
      <c r="M4" s="4">
        <v>46029</v>
      </c>
      <c r="N4" s="3">
        <v>2</v>
      </c>
      <c r="O4" s="5">
        <v>30999</v>
      </c>
      <c r="P4" s="3">
        <v>5</v>
      </c>
      <c r="Q4" s="5">
        <v>61998</v>
      </c>
      <c r="R4" s="5">
        <v>3099.9</v>
      </c>
      <c r="S4" s="5">
        <v>58898.1</v>
      </c>
      <c r="T4" s="5">
        <v>11779.62</v>
      </c>
      <c r="U4" s="3" t="s">
        <v>42</v>
      </c>
      <c r="V4" s="3" t="s">
        <v>43</v>
      </c>
      <c r="W4" s="3" t="s">
        <v>44</v>
      </c>
      <c r="Y4" s="6" t="s">
        <v>35</v>
      </c>
      <c r="Z4" s="6" t="str">
        <v>XYZ Pvt</v>
      </c>
      <c r="AA4" s="6" t="str">
        <v>UPI</v>
      </c>
    </row>
    <row r="5" spans="1:27" ht="17.100000000000001" customHeight="1" x14ac:dyDescent="0.25">
      <c r="A5" s="3" t="s">
        <v>45</v>
      </c>
      <c r="B5" s="3">
        <v>103</v>
      </c>
      <c r="C5" s="3" t="s">
        <v>46</v>
      </c>
      <c r="D5" s="3" t="s">
        <v>47</v>
      </c>
      <c r="E5" s="3" t="s">
        <v>26</v>
      </c>
      <c r="F5" s="3" t="s">
        <v>38</v>
      </c>
      <c r="G5" s="4">
        <v>45669</v>
      </c>
      <c r="H5" s="3">
        <v>23</v>
      </c>
      <c r="I5" s="3" t="s">
        <v>48</v>
      </c>
      <c r="J5" s="3" t="s">
        <v>49</v>
      </c>
      <c r="K5" s="3" t="s">
        <v>50</v>
      </c>
      <c r="L5" s="3" t="s">
        <v>31</v>
      </c>
      <c r="M5" s="4">
        <v>46031</v>
      </c>
      <c r="N5" s="3">
        <v>1</v>
      </c>
      <c r="O5" s="5">
        <v>16999</v>
      </c>
      <c r="P5" s="3">
        <v>10</v>
      </c>
      <c r="Q5" s="5">
        <v>16999</v>
      </c>
      <c r="R5" s="5">
        <v>1699.9</v>
      </c>
      <c r="S5" s="5">
        <v>15299.1</v>
      </c>
      <c r="T5" s="5">
        <v>3824.7750000000001</v>
      </c>
      <c r="U5" s="3" t="s">
        <v>51</v>
      </c>
      <c r="V5" s="3" t="s">
        <v>52</v>
      </c>
      <c r="W5" s="3" t="s">
        <v>53</v>
      </c>
      <c r="Y5" s="6" t="s">
        <v>45</v>
      </c>
      <c r="Z5" s="6" t="str">
        <v>PQR Ltd</v>
      </c>
      <c r="AA5" s="6" t="str">
        <v>Credit Card</v>
      </c>
    </row>
    <row r="6" spans="1:27" ht="17.100000000000001" customHeight="1" x14ac:dyDescent="0.25">
      <c r="A6" s="3" t="s">
        <v>54</v>
      </c>
      <c r="B6" s="3">
        <v>104</v>
      </c>
      <c r="C6" s="3" t="s">
        <v>55</v>
      </c>
      <c r="D6" s="3" t="s">
        <v>56</v>
      </c>
      <c r="E6" s="3" t="s">
        <v>26</v>
      </c>
      <c r="F6" s="3" t="s">
        <v>38</v>
      </c>
      <c r="G6" s="4">
        <v>45672</v>
      </c>
      <c r="H6" s="3">
        <v>26</v>
      </c>
      <c r="I6" s="3" t="s">
        <v>57</v>
      </c>
      <c r="J6" s="3" t="s">
        <v>58</v>
      </c>
      <c r="K6" s="3" t="s">
        <v>59</v>
      </c>
      <c r="L6" s="3" t="s">
        <v>31</v>
      </c>
      <c r="M6" s="4">
        <v>46033</v>
      </c>
      <c r="N6" s="3">
        <v>3</v>
      </c>
      <c r="O6" s="5">
        <v>27999</v>
      </c>
      <c r="P6" s="3">
        <v>5</v>
      </c>
      <c r="Q6" s="5">
        <v>83997</v>
      </c>
      <c r="R6" s="5">
        <v>4199.8500000000004</v>
      </c>
      <c r="S6" s="5">
        <v>79797.149999999994</v>
      </c>
      <c r="T6" s="5">
        <v>23939.145</v>
      </c>
      <c r="U6" s="3" t="s">
        <v>60</v>
      </c>
      <c r="V6" s="3" t="s">
        <v>33</v>
      </c>
      <c r="W6" s="3" t="s">
        <v>61</v>
      </c>
      <c r="Y6" s="6" t="s">
        <v>54</v>
      </c>
      <c r="Z6" s="6" t="str">
        <v>LMN Ltd</v>
      </c>
      <c r="AA6" s="6" t="str">
        <v>Debit Card</v>
      </c>
    </row>
    <row r="7" spans="1:27" ht="17.100000000000001" customHeight="1" x14ac:dyDescent="0.25">
      <c r="A7" s="3" t="s">
        <v>62</v>
      </c>
      <c r="B7" s="3">
        <v>105</v>
      </c>
      <c r="C7" s="3" t="s">
        <v>63</v>
      </c>
      <c r="D7" s="3" t="s">
        <v>56</v>
      </c>
      <c r="E7" s="3" t="s">
        <v>64</v>
      </c>
      <c r="F7" s="3" t="s">
        <v>38</v>
      </c>
      <c r="G7" s="4">
        <v>45677</v>
      </c>
      <c r="H7" s="3">
        <v>22</v>
      </c>
      <c r="I7" s="3" t="s">
        <v>65</v>
      </c>
      <c r="J7" s="3" t="s">
        <v>66</v>
      </c>
      <c r="K7" s="3" t="s">
        <v>41</v>
      </c>
      <c r="L7" s="3" t="s">
        <v>67</v>
      </c>
      <c r="M7" s="4">
        <v>46035</v>
      </c>
      <c r="N7" s="3">
        <v>2</v>
      </c>
      <c r="O7" s="5">
        <v>8999</v>
      </c>
      <c r="P7" s="3">
        <v>8</v>
      </c>
      <c r="Q7" s="5">
        <v>17998</v>
      </c>
      <c r="R7" s="5">
        <v>1439.84</v>
      </c>
      <c r="S7" s="5">
        <v>16558.16</v>
      </c>
      <c r="T7" s="5">
        <v>1655.816</v>
      </c>
      <c r="U7" s="3" t="s">
        <v>68</v>
      </c>
      <c r="V7" s="3" t="s">
        <v>43</v>
      </c>
      <c r="W7" s="3" t="s">
        <v>69</v>
      </c>
      <c r="Y7" s="6" t="s">
        <v>62</v>
      </c>
      <c r="Z7" s="6" t="str">
        <v>DEF Ltd</v>
      </c>
      <c r="AA7" s="6" t="str">
        <v>EMI</v>
      </c>
    </row>
    <row r="8" spans="1:27" ht="17.100000000000001" customHeight="1" x14ac:dyDescent="0.25">
      <c r="A8" s="3" t="s">
        <v>70</v>
      </c>
      <c r="B8" s="3">
        <v>106</v>
      </c>
      <c r="C8" s="3" t="s">
        <v>71</v>
      </c>
      <c r="D8" s="3" t="s">
        <v>56</v>
      </c>
      <c r="E8" s="3" t="s">
        <v>26</v>
      </c>
      <c r="F8" s="3" t="s">
        <v>38</v>
      </c>
      <c r="G8" s="4">
        <v>45679</v>
      </c>
      <c r="H8" s="3">
        <v>24</v>
      </c>
      <c r="I8" s="3" t="s">
        <v>28</v>
      </c>
      <c r="J8" s="3" t="s">
        <v>29</v>
      </c>
      <c r="K8" s="3" t="s">
        <v>30</v>
      </c>
      <c r="L8" s="3" t="s">
        <v>31</v>
      </c>
      <c r="M8" s="4">
        <v>46037</v>
      </c>
      <c r="N8" s="3">
        <v>4</v>
      </c>
      <c r="O8" s="5">
        <v>69999</v>
      </c>
      <c r="P8" s="3">
        <v>12</v>
      </c>
      <c r="Q8" s="5">
        <v>279996</v>
      </c>
      <c r="R8" s="5">
        <v>33599.519999999997</v>
      </c>
      <c r="S8" s="5">
        <v>246396.48</v>
      </c>
      <c r="T8" s="5">
        <v>49279.296000000002</v>
      </c>
      <c r="U8" s="3" t="s">
        <v>32</v>
      </c>
      <c r="V8" s="3" t="s">
        <v>52</v>
      </c>
      <c r="W8" s="3" t="s">
        <v>72</v>
      </c>
      <c r="Y8" s="6" t="s">
        <v>70</v>
      </c>
      <c r="Z8" s="6" t="str">
        <v>GHI Ltd</v>
      </c>
      <c r="AA8" s="6" t="str">
        <v>Cash</v>
      </c>
    </row>
    <row r="9" spans="1:27" ht="17.100000000000001" customHeight="1" x14ac:dyDescent="0.25">
      <c r="A9" s="3" t="s">
        <v>73</v>
      </c>
      <c r="B9" s="3">
        <v>107</v>
      </c>
      <c r="C9" s="3" t="s">
        <v>74</v>
      </c>
      <c r="D9" s="3" t="s">
        <v>25</v>
      </c>
      <c r="E9" s="3" t="s">
        <v>26</v>
      </c>
      <c r="F9" s="3" t="s">
        <v>27</v>
      </c>
      <c r="G9" s="4">
        <v>45682</v>
      </c>
      <c r="H9" s="3">
        <v>27</v>
      </c>
      <c r="I9" s="3" t="s">
        <v>39</v>
      </c>
      <c r="J9" s="3" t="s">
        <v>40</v>
      </c>
      <c r="K9" s="3" t="s">
        <v>41</v>
      </c>
      <c r="L9" s="3" t="s">
        <v>31</v>
      </c>
      <c r="M9" s="4">
        <v>46039</v>
      </c>
      <c r="N9" s="3">
        <v>1</v>
      </c>
      <c r="O9" s="5">
        <v>30999</v>
      </c>
      <c r="P9" s="3">
        <v>0</v>
      </c>
      <c r="Q9" s="5">
        <v>30999</v>
      </c>
      <c r="R9" s="5">
        <v>0</v>
      </c>
      <c r="S9" s="5">
        <v>30999</v>
      </c>
      <c r="T9" s="5">
        <v>7749.75</v>
      </c>
      <c r="U9" s="3" t="s">
        <v>42</v>
      </c>
      <c r="V9" s="3" t="s">
        <v>33</v>
      </c>
      <c r="W9" s="3" t="s">
        <v>34</v>
      </c>
      <c r="Y9" s="6" t="s">
        <v>73</v>
      </c>
      <c r="Z9" s="6" t="str">
        <v>ABC Ltd</v>
      </c>
      <c r="AA9" s="6" t="str">
        <v>UPI</v>
      </c>
    </row>
    <row r="10" spans="1:27" ht="17.100000000000001" customHeight="1" x14ac:dyDescent="0.25">
      <c r="A10" s="3" t="s">
        <v>75</v>
      </c>
      <c r="B10" s="3">
        <v>108</v>
      </c>
      <c r="C10" s="3" t="s">
        <v>76</v>
      </c>
      <c r="D10" s="3" t="s">
        <v>47</v>
      </c>
      <c r="E10" s="3" t="s">
        <v>37</v>
      </c>
      <c r="F10" s="3" t="s">
        <v>27</v>
      </c>
      <c r="G10" s="4">
        <v>45685</v>
      </c>
      <c r="H10" s="3">
        <v>21</v>
      </c>
      <c r="I10" s="3" t="s">
        <v>48</v>
      </c>
      <c r="J10" s="3" t="s">
        <v>49</v>
      </c>
      <c r="K10" s="3" t="s">
        <v>50</v>
      </c>
      <c r="L10" s="3" t="s">
        <v>31</v>
      </c>
      <c r="M10" s="4">
        <v>46041</v>
      </c>
      <c r="N10" s="3">
        <v>2</v>
      </c>
      <c r="O10" s="5">
        <v>16999</v>
      </c>
      <c r="P10" s="3">
        <v>7</v>
      </c>
      <c r="Q10" s="5">
        <v>33998</v>
      </c>
      <c r="R10" s="5">
        <v>2379.86</v>
      </c>
      <c r="S10" s="5">
        <v>31618.14</v>
      </c>
      <c r="T10" s="5">
        <v>9485.4419999999991</v>
      </c>
      <c r="U10" s="3" t="s">
        <v>51</v>
      </c>
      <c r="V10" s="3" t="s">
        <v>43</v>
      </c>
      <c r="W10" s="3" t="s">
        <v>44</v>
      </c>
      <c r="Y10" s="6" t="s">
        <v>75</v>
      </c>
      <c r="Z10" s="6" t="str">
        <v>XYZ Pvt</v>
      </c>
      <c r="AA10" s="6" t="str">
        <v>Credit Card</v>
      </c>
    </row>
    <row r="11" spans="1:27" ht="17.100000000000001" customHeight="1" x14ac:dyDescent="0.25">
      <c r="A11" s="3" t="s">
        <v>77</v>
      </c>
      <c r="B11" s="3">
        <v>109</v>
      </c>
      <c r="C11" s="3" t="s">
        <v>78</v>
      </c>
      <c r="D11" s="3" t="s">
        <v>79</v>
      </c>
      <c r="E11" s="3" t="s">
        <v>64</v>
      </c>
      <c r="F11" s="3" t="s">
        <v>27</v>
      </c>
      <c r="G11" s="4">
        <v>45690</v>
      </c>
      <c r="H11" s="3">
        <v>26</v>
      </c>
      <c r="I11" s="3" t="s">
        <v>57</v>
      </c>
      <c r="J11" s="3" t="s">
        <v>58</v>
      </c>
      <c r="K11" s="3" t="s">
        <v>59</v>
      </c>
      <c r="L11" s="3" t="s">
        <v>31</v>
      </c>
      <c r="M11" s="4">
        <v>46043</v>
      </c>
      <c r="N11" s="3">
        <v>5</v>
      </c>
      <c r="O11" s="5">
        <v>27999</v>
      </c>
      <c r="P11" s="3">
        <v>10</v>
      </c>
      <c r="Q11" s="5">
        <v>139995</v>
      </c>
      <c r="R11" s="5">
        <v>13999.5</v>
      </c>
      <c r="S11" s="5">
        <v>125995.5</v>
      </c>
      <c r="T11" s="5">
        <v>12599.55</v>
      </c>
      <c r="U11" s="3" t="s">
        <v>60</v>
      </c>
      <c r="V11" s="3" t="s">
        <v>52</v>
      </c>
      <c r="W11" s="3" t="s">
        <v>53</v>
      </c>
      <c r="Y11" s="6" t="s">
        <v>77</v>
      </c>
      <c r="Z11" s="6" t="str">
        <v>PQR Ltd</v>
      </c>
      <c r="AA11" s="6" t="str">
        <v>Debit Card</v>
      </c>
    </row>
    <row r="12" spans="1:27" ht="17.100000000000001" customHeight="1" x14ac:dyDescent="0.25">
      <c r="A12" s="3" t="s">
        <v>80</v>
      </c>
      <c r="B12" s="3">
        <v>110</v>
      </c>
      <c r="C12" s="3" t="s">
        <v>81</v>
      </c>
      <c r="D12" s="3" t="s">
        <v>82</v>
      </c>
      <c r="E12" s="3" t="s">
        <v>26</v>
      </c>
      <c r="F12" s="3" t="s">
        <v>38</v>
      </c>
      <c r="G12" s="4">
        <v>45693</v>
      </c>
      <c r="H12" s="3">
        <v>25</v>
      </c>
      <c r="I12" s="3" t="s">
        <v>65</v>
      </c>
      <c r="J12" s="3" t="s">
        <v>66</v>
      </c>
      <c r="K12" s="3" t="s">
        <v>41</v>
      </c>
      <c r="L12" s="3" t="s">
        <v>67</v>
      </c>
      <c r="M12" s="4">
        <v>46045</v>
      </c>
      <c r="N12" s="3">
        <v>1</v>
      </c>
      <c r="O12" s="5">
        <v>8999</v>
      </c>
      <c r="P12" s="3">
        <v>5</v>
      </c>
      <c r="Q12" s="5">
        <v>8999</v>
      </c>
      <c r="R12" s="5">
        <v>449.95</v>
      </c>
      <c r="S12" s="5">
        <v>8549.0499999999993</v>
      </c>
      <c r="T12" s="5">
        <v>1709.81</v>
      </c>
      <c r="U12" s="3" t="s">
        <v>68</v>
      </c>
      <c r="V12" s="3" t="s">
        <v>33</v>
      </c>
      <c r="W12" s="3" t="s">
        <v>61</v>
      </c>
      <c r="Y12" s="6" t="s">
        <v>80</v>
      </c>
      <c r="Z12" s="6" t="str">
        <v>LMN Ltd</v>
      </c>
      <c r="AA12" s="6" t="str">
        <v>EMI</v>
      </c>
    </row>
    <row r="13" spans="1:27" ht="17.100000000000001" customHeight="1" x14ac:dyDescent="0.25">
      <c r="A13" s="3" t="s">
        <v>83</v>
      </c>
      <c r="B13" s="3">
        <v>111</v>
      </c>
      <c r="C13" s="3" t="s">
        <v>84</v>
      </c>
      <c r="D13" s="3" t="s">
        <v>79</v>
      </c>
      <c r="E13" s="3" t="s">
        <v>37</v>
      </c>
      <c r="F13" s="3" t="s">
        <v>38</v>
      </c>
      <c r="G13" s="4">
        <v>45696</v>
      </c>
      <c r="H13" s="3">
        <v>27</v>
      </c>
      <c r="I13" s="3" t="s">
        <v>28</v>
      </c>
      <c r="J13" s="3" t="s">
        <v>29</v>
      </c>
      <c r="K13" s="3" t="s">
        <v>30</v>
      </c>
      <c r="L13" s="3" t="s">
        <v>31</v>
      </c>
      <c r="M13" s="4">
        <v>46047</v>
      </c>
      <c r="N13" s="3">
        <v>1</v>
      </c>
      <c r="O13" s="5">
        <v>69999</v>
      </c>
      <c r="P13" s="3">
        <v>0</v>
      </c>
      <c r="Q13" s="5">
        <v>69999</v>
      </c>
      <c r="R13" s="5">
        <v>0</v>
      </c>
      <c r="S13" s="5">
        <v>69999</v>
      </c>
      <c r="T13" s="5">
        <v>17499.75</v>
      </c>
      <c r="U13" s="3" t="s">
        <v>32</v>
      </c>
      <c r="V13" s="3" t="s">
        <v>43</v>
      </c>
      <c r="W13" s="3" t="s">
        <v>69</v>
      </c>
      <c r="Y13" s="6" t="s">
        <v>83</v>
      </c>
      <c r="Z13" s="6" t="str">
        <v>DEF Ltd</v>
      </c>
      <c r="AA13" s="6" t="str">
        <v>Cash</v>
      </c>
    </row>
    <row r="14" spans="1:27" ht="17.100000000000001" customHeight="1" x14ac:dyDescent="0.25">
      <c r="A14" s="3" t="s">
        <v>85</v>
      </c>
      <c r="B14" s="3">
        <v>112</v>
      </c>
      <c r="C14" s="3" t="s">
        <v>86</v>
      </c>
      <c r="D14" s="3" t="s">
        <v>87</v>
      </c>
      <c r="E14" s="3" t="s">
        <v>88</v>
      </c>
      <c r="F14" s="3" t="s">
        <v>38</v>
      </c>
      <c r="G14" s="4">
        <v>45700</v>
      </c>
      <c r="H14" s="3">
        <v>28</v>
      </c>
      <c r="I14" s="3" t="s">
        <v>39</v>
      </c>
      <c r="J14" s="3" t="s">
        <v>40</v>
      </c>
      <c r="K14" s="3" t="s">
        <v>41</v>
      </c>
      <c r="L14" s="3" t="s">
        <v>31</v>
      </c>
      <c r="M14" s="4">
        <v>46049</v>
      </c>
      <c r="N14" s="3">
        <v>2</v>
      </c>
      <c r="O14" s="5">
        <v>30999</v>
      </c>
      <c r="P14" s="3">
        <v>5</v>
      </c>
      <c r="Q14" s="5">
        <v>61998</v>
      </c>
      <c r="R14" s="5">
        <v>3099.9</v>
      </c>
      <c r="S14" s="5">
        <v>58898.1</v>
      </c>
      <c r="T14" s="5">
        <v>17669.43</v>
      </c>
      <c r="U14" s="3" t="s">
        <v>42</v>
      </c>
      <c r="V14" s="3" t="s">
        <v>52</v>
      </c>
      <c r="W14" s="3" t="s">
        <v>72</v>
      </c>
      <c r="Y14" s="6" t="s">
        <v>85</v>
      </c>
      <c r="Z14" s="6" t="str">
        <v>GHI Ltd</v>
      </c>
      <c r="AA14" s="6" t="str">
        <v>UPI</v>
      </c>
    </row>
    <row r="15" spans="1:27" ht="17.100000000000001" customHeight="1" x14ac:dyDescent="0.25">
      <c r="A15" s="3" t="s">
        <v>89</v>
      </c>
      <c r="B15" s="3">
        <v>113</v>
      </c>
      <c r="C15" s="3" t="s">
        <v>90</v>
      </c>
      <c r="D15" s="3" t="s">
        <v>91</v>
      </c>
      <c r="E15" s="3" t="s">
        <v>26</v>
      </c>
      <c r="F15" s="3" t="s">
        <v>38</v>
      </c>
      <c r="G15" s="4">
        <v>45703</v>
      </c>
      <c r="H15" s="3">
        <v>20</v>
      </c>
      <c r="I15" s="3" t="s">
        <v>48</v>
      </c>
      <c r="J15" s="3" t="s">
        <v>49</v>
      </c>
      <c r="K15" s="3" t="s">
        <v>50</v>
      </c>
      <c r="L15" s="3" t="s">
        <v>31</v>
      </c>
      <c r="M15" s="4">
        <v>46051</v>
      </c>
      <c r="N15" s="3">
        <v>1</v>
      </c>
      <c r="O15" s="5">
        <v>16999</v>
      </c>
      <c r="P15" s="3">
        <v>10</v>
      </c>
      <c r="Q15" s="5">
        <v>16999</v>
      </c>
      <c r="R15" s="5">
        <v>1699.9</v>
      </c>
      <c r="S15" s="5">
        <v>15299.1</v>
      </c>
      <c r="T15" s="5">
        <v>1529.91</v>
      </c>
      <c r="U15" s="3" t="s">
        <v>51</v>
      </c>
      <c r="V15" s="3" t="s">
        <v>33</v>
      </c>
      <c r="W15" s="3" t="s">
        <v>34</v>
      </c>
      <c r="Y15" s="6" t="s">
        <v>89</v>
      </c>
      <c r="Z15" s="6" t="str">
        <v>ABC Ltd</v>
      </c>
      <c r="AA15" s="6" t="str">
        <v>Credit Card</v>
      </c>
    </row>
    <row r="16" spans="1:27" ht="17.100000000000001" customHeight="1" x14ac:dyDescent="0.25">
      <c r="A16" s="3" t="s">
        <v>92</v>
      </c>
      <c r="B16" s="3">
        <v>114</v>
      </c>
      <c r="C16" s="3" t="s">
        <v>93</v>
      </c>
      <c r="D16" s="3" t="s">
        <v>91</v>
      </c>
      <c r="E16" s="3" t="s">
        <v>26</v>
      </c>
      <c r="F16" s="3" t="s">
        <v>38</v>
      </c>
      <c r="G16" s="4">
        <v>45706</v>
      </c>
      <c r="H16" s="3">
        <v>22</v>
      </c>
      <c r="I16" s="3" t="s">
        <v>57</v>
      </c>
      <c r="J16" s="3" t="s">
        <v>58</v>
      </c>
      <c r="K16" s="3" t="s">
        <v>59</v>
      </c>
      <c r="L16" s="3" t="s">
        <v>31</v>
      </c>
      <c r="M16" s="4">
        <v>46053</v>
      </c>
      <c r="N16" s="3">
        <v>3</v>
      </c>
      <c r="O16" s="5">
        <v>27999</v>
      </c>
      <c r="P16" s="3">
        <v>5</v>
      </c>
      <c r="Q16" s="5">
        <v>83997</v>
      </c>
      <c r="R16" s="5">
        <v>4199.8500000000004</v>
      </c>
      <c r="S16" s="5">
        <v>79797.149999999994</v>
      </c>
      <c r="T16" s="5">
        <v>15959.43</v>
      </c>
      <c r="U16" s="3" t="s">
        <v>60</v>
      </c>
      <c r="V16" s="3" t="s">
        <v>43</v>
      </c>
      <c r="W16" s="3" t="s">
        <v>44</v>
      </c>
      <c r="Y16" s="6" t="s">
        <v>92</v>
      </c>
      <c r="Z16" s="6" t="str">
        <v>XYZ Pvt</v>
      </c>
      <c r="AA16" s="6" t="str">
        <v>Debit Card</v>
      </c>
    </row>
    <row r="17" spans="1:27" ht="17.100000000000001" customHeight="1" x14ac:dyDescent="0.25">
      <c r="A17" s="3" t="s">
        <v>94</v>
      </c>
      <c r="B17" s="3">
        <v>115</v>
      </c>
      <c r="C17" s="3" t="s">
        <v>95</v>
      </c>
      <c r="D17" s="3" t="s">
        <v>82</v>
      </c>
      <c r="E17" s="3" t="s">
        <v>37</v>
      </c>
      <c r="F17" s="3" t="s">
        <v>27</v>
      </c>
      <c r="G17" s="4">
        <v>45708</v>
      </c>
      <c r="H17" s="3">
        <v>24</v>
      </c>
      <c r="I17" s="3" t="s">
        <v>65</v>
      </c>
      <c r="J17" s="3" t="s">
        <v>66</v>
      </c>
      <c r="K17" s="3" t="s">
        <v>41</v>
      </c>
      <c r="L17" s="3" t="s">
        <v>67</v>
      </c>
      <c r="M17" s="4">
        <v>46055</v>
      </c>
      <c r="N17" s="3">
        <v>2</v>
      </c>
      <c r="O17" s="5">
        <v>8999</v>
      </c>
      <c r="P17" s="3">
        <v>8</v>
      </c>
      <c r="Q17" s="5">
        <v>17998</v>
      </c>
      <c r="R17" s="5">
        <v>1439.84</v>
      </c>
      <c r="S17" s="5">
        <v>16558.16</v>
      </c>
      <c r="T17" s="5">
        <v>4139.54</v>
      </c>
      <c r="U17" s="3" t="s">
        <v>68</v>
      </c>
      <c r="V17" s="3" t="s">
        <v>52</v>
      </c>
      <c r="W17" s="3" t="s">
        <v>53</v>
      </c>
      <c r="Y17" s="6" t="s">
        <v>94</v>
      </c>
      <c r="Z17" s="6" t="str">
        <v>PQR Ltd</v>
      </c>
      <c r="AA17" s="6" t="str">
        <v>EMI</v>
      </c>
    </row>
    <row r="18" spans="1:27" ht="17.100000000000001" customHeight="1" x14ac:dyDescent="0.25">
      <c r="A18" s="3" t="s">
        <v>96</v>
      </c>
      <c r="B18" s="3">
        <v>116</v>
      </c>
      <c r="C18" s="3" t="s">
        <v>97</v>
      </c>
      <c r="D18" s="3" t="s">
        <v>82</v>
      </c>
      <c r="E18" s="3" t="s">
        <v>64</v>
      </c>
      <c r="F18" s="3" t="s">
        <v>27</v>
      </c>
      <c r="G18" s="4">
        <v>45710</v>
      </c>
      <c r="H18" s="3">
        <v>23</v>
      </c>
      <c r="I18" s="3" t="s">
        <v>28</v>
      </c>
      <c r="J18" s="3" t="s">
        <v>29</v>
      </c>
      <c r="K18" s="3" t="s">
        <v>30</v>
      </c>
      <c r="L18" s="3" t="s">
        <v>31</v>
      </c>
      <c r="M18" s="4">
        <v>46057</v>
      </c>
      <c r="N18" s="3">
        <v>4</v>
      </c>
      <c r="O18" s="5">
        <v>69999</v>
      </c>
      <c r="P18" s="3">
        <v>12</v>
      </c>
      <c r="Q18" s="5">
        <v>279996</v>
      </c>
      <c r="R18" s="5">
        <v>33599.519999999997</v>
      </c>
      <c r="S18" s="5">
        <v>246396.48</v>
      </c>
      <c r="T18" s="5">
        <v>73918.944000000003</v>
      </c>
      <c r="U18" s="3" t="s">
        <v>32</v>
      </c>
      <c r="V18" s="3" t="s">
        <v>33</v>
      </c>
      <c r="W18" s="3" t="s">
        <v>61</v>
      </c>
      <c r="Y18" s="6" t="s">
        <v>96</v>
      </c>
      <c r="Z18" s="6" t="str">
        <v>LMN Ltd</v>
      </c>
      <c r="AA18" s="6" t="str">
        <v>Cash</v>
      </c>
    </row>
    <row r="19" spans="1:27" ht="17.100000000000001" customHeight="1" x14ac:dyDescent="0.25">
      <c r="A19" s="3" t="s">
        <v>98</v>
      </c>
      <c r="B19" s="3">
        <v>117</v>
      </c>
      <c r="C19" s="3" t="s">
        <v>99</v>
      </c>
      <c r="D19" s="3" t="s">
        <v>47</v>
      </c>
      <c r="E19" s="3" t="s">
        <v>26</v>
      </c>
      <c r="F19" s="3" t="s">
        <v>38</v>
      </c>
      <c r="G19" s="4">
        <v>45713</v>
      </c>
      <c r="H19" s="3">
        <v>26</v>
      </c>
      <c r="I19" s="3" t="s">
        <v>39</v>
      </c>
      <c r="J19" s="3" t="s">
        <v>40</v>
      </c>
      <c r="K19" s="3" t="s">
        <v>41</v>
      </c>
      <c r="L19" s="3" t="s">
        <v>31</v>
      </c>
      <c r="M19" s="4">
        <v>46059</v>
      </c>
      <c r="N19" s="3">
        <v>1</v>
      </c>
      <c r="O19" s="5">
        <v>30999</v>
      </c>
      <c r="P19" s="3">
        <v>0</v>
      </c>
      <c r="Q19" s="5">
        <v>30999</v>
      </c>
      <c r="R19" s="5">
        <v>0</v>
      </c>
      <c r="S19" s="5">
        <v>30999</v>
      </c>
      <c r="T19" s="5">
        <v>3099.9</v>
      </c>
      <c r="U19" s="3" t="s">
        <v>42</v>
      </c>
      <c r="V19" s="3" t="s">
        <v>43</v>
      </c>
      <c r="W19" s="3" t="s">
        <v>69</v>
      </c>
      <c r="Y19" s="6" t="s">
        <v>98</v>
      </c>
      <c r="Z19" s="6" t="str">
        <v>DEF Ltd</v>
      </c>
      <c r="AA19" s="6" t="str">
        <v>UPI</v>
      </c>
    </row>
    <row r="20" spans="1:27" ht="17.100000000000001" customHeight="1" x14ac:dyDescent="0.25">
      <c r="A20" s="3" t="s">
        <v>100</v>
      </c>
      <c r="B20" s="3">
        <v>101</v>
      </c>
      <c r="C20" s="3" t="s">
        <v>24</v>
      </c>
      <c r="D20" s="3" t="s">
        <v>25</v>
      </c>
      <c r="E20" s="3" t="s">
        <v>26</v>
      </c>
      <c r="F20" s="3" t="s">
        <v>27</v>
      </c>
      <c r="G20" s="4">
        <v>45662</v>
      </c>
      <c r="H20" s="3">
        <v>25</v>
      </c>
      <c r="I20" s="3" t="s">
        <v>48</v>
      </c>
      <c r="J20" s="3" t="s">
        <v>49</v>
      </c>
      <c r="K20" s="3" t="s">
        <v>50</v>
      </c>
      <c r="L20" s="3" t="s">
        <v>31</v>
      </c>
      <c r="M20" s="4">
        <v>46061</v>
      </c>
      <c r="N20" s="3">
        <v>2</v>
      </c>
      <c r="O20" s="5">
        <v>16999</v>
      </c>
      <c r="P20" s="3">
        <v>7</v>
      </c>
      <c r="Q20" s="5">
        <v>33998</v>
      </c>
      <c r="R20" s="5">
        <v>2379.86</v>
      </c>
      <c r="S20" s="5">
        <v>31618.14</v>
      </c>
      <c r="T20" s="5">
        <v>6323.6280000000006</v>
      </c>
      <c r="U20" s="3" t="s">
        <v>51</v>
      </c>
      <c r="V20" s="3" t="s">
        <v>52</v>
      </c>
      <c r="W20" s="3" t="s">
        <v>72</v>
      </c>
      <c r="Y20" s="6" t="s">
        <v>100</v>
      </c>
      <c r="Z20" s="6" t="str">
        <v>GHI Ltd</v>
      </c>
      <c r="AA20" s="6" t="str">
        <v>Credit Card</v>
      </c>
    </row>
    <row r="21" spans="1:27" ht="17.100000000000001" customHeight="1" x14ac:dyDescent="0.25">
      <c r="A21" s="3" t="s">
        <v>101</v>
      </c>
      <c r="B21" s="3">
        <v>102</v>
      </c>
      <c r="C21" s="3" t="s">
        <v>36</v>
      </c>
      <c r="D21" s="3" t="s">
        <v>25</v>
      </c>
      <c r="E21" s="3" t="s">
        <v>37</v>
      </c>
      <c r="F21" s="3" t="s">
        <v>38</v>
      </c>
      <c r="G21" s="4">
        <v>45665</v>
      </c>
      <c r="H21" s="3">
        <v>24</v>
      </c>
      <c r="I21" s="3" t="s">
        <v>57</v>
      </c>
      <c r="J21" s="3" t="s">
        <v>58</v>
      </c>
      <c r="K21" s="3" t="s">
        <v>59</v>
      </c>
      <c r="L21" s="3" t="s">
        <v>31</v>
      </c>
      <c r="M21" s="4">
        <v>46063</v>
      </c>
      <c r="N21" s="3">
        <v>5</v>
      </c>
      <c r="O21" s="5">
        <v>27999</v>
      </c>
      <c r="P21" s="3">
        <v>10</v>
      </c>
      <c r="Q21" s="5">
        <v>139995</v>
      </c>
      <c r="R21" s="5">
        <v>13999.5</v>
      </c>
      <c r="S21" s="5">
        <v>125995.5</v>
      </c>
      <c r="T21" s="5">
        <v>31498.875</v>
      </c>
      <c r="U21" s="3" t="s">
        <v>60</v>
      </c>
      <c r="V21" s="3" t="s">
        <v>33</v>
      </c>
      <c r="W21" s="3" t="s">
        <v>34</v>
      </c>
      <c r="Y21" s="6" t="s">
        <v>101</v>
      </c>
      <c r="Z21" s="6" t="str">
        <v>ABC Ltd</v>
      </c>
      <c r="AA21" s="6" t="str">
        <v>Debit Card</v>
      </c>
    </row>
    <row r="22" spans="1:27" ht="17.100000000000001" customHeight="1" x14ac:dyDescent="0.25">
      <c r="A22" s="3" t="s">
        <v>102</v>
      </c>
      <c r="B22" s="3">
        <v>103</v>
      </c>
      <c r="C22" s="3" t="s">
        <v>46</v>
      </c>
      <c r="D22" s="3" t="s">
        <v>47</v>
      </c>
      <c r="E22" s="3" t="s">
        <v>26</v>
      </c>
      <c r="F22" s="3" t="s">
        <v>38</v>
      </c>
      <c r="G22" s="4">
        <v>45669</v>
      </c>
      <c r="H22" s="3">
        <v>23</v>
      </c>
      <c r="I22" s="3" t="s">
        <v>65</v>
      </c>
      <c r="J22" s="3" t="s">
        <v>66</v>
      </c>
      <c r="K22" s="3" t="s">
        <v>41</v>
      </c>
      <c r="L22" s="3" t="s">
        <v>67</v>
      </c>
      <c r="M22" s="4">
        <v>46065</v>
      </c>
      <c r="N22" s="3">
        <v>1</v>
      </c>
      <c r="O22" s="5">
        <v>8999</v>
      </c>
      <c r="P22" s="3">
        <v>5</v>
      </c>
      <c r="Q22" s="5">
        <v>8999</v>
      </c>
      <c r="R22" s="5">
        <v>449.95</v>
      </c>
      <c r="S22" s="5">
        <v>8549.0499999999993</v>
      </c>
      <c r="T22" s="5">
        <v>2564.7150000000001</v>
      </c>
      <c r="U22" s="3" t="s">
        <v>68</v>
      </c>
      <c r="V22" s="3" t="s">
        <v>43</v>
      </c>
      <c r="W22" s="3" t="s">
        <v>44</v>
      </c>
      <c r="Y22" s="6" t="s">
        <v>102</v>
      </c>
      <c r="Z22" s="6" t="str">
        <v>XYZ Pvt</v>
      </c>
      <c r="AA22" s="6" t="str">
        <v>EMI</v>
      </c>
    </row>
    <row r="23" spans="1:27" ht="17.100000000000001" customHeight="1" x14ac:dyDescent="0.25">
      <c r="A23" s="3" t="s">
        <v>103</v>
      </c>
      <c r="B23" s="3">
        <v>104</v>
      </c>
      <c r="C23" s="3" t="s">
        <v>55</v>
      </c>
      <c r="D23" s="3" t="s">
        <v>56</v>
      </c>
      <c r="E23" s="3" t="s">
        <v>26</v>
      </c>
      <c r="F23" s="3" t="s">
        <v>38</v>
      </c>
      <c r="G23" s="4">
        <v>45672</v>
      </c>
      <c r="H23" s="3">
        <v>26</v>
      </c>
      <c r="I23" s="3" t="s">
        <v>28</v>
      </c>
      <c r="J23" s="3" t="s">
        <v>29</v>
      </c>
      <c r="K23" s="3" t="s">
        <v>30</v>
      </c>
      <c r="L23" s="3" t="s">
        <v>31</v>
      </c>
      <c r="M23" s="4">
        <v>46067</v>
      </c>
      <c r="N23" s="3">
        <v>1</v>
      </c>
      <c r="O23" s="5">
        <v>69999</v>
      </c>
      <c r="P23" s="3">
        <v>0</v>
      </c>
      <c r="Q23" s="5">
        <v>69999</v>
      </c>
      <c r="R23" s="5">
        <v>0</v>
      </c>
      <c r="S23" s="5">
        <v>69999</v>
      </c>
      <c r="T23" s="5">
        <v>6999.9000000000005</v>
      </c>
      <c r="U23" s="3" t="s">
        <v>32</v>
      </c>
      <c r="V23" s="3" t="s">
        <v>52</v>
      </c>
      <c r="W23" s="3" t="s">
        <v>53</v>
      </c>
      <c r="Y23" s="6" t="s">
        <v>103</v>
      </c>
      <c r="Z23" s="6" t="str">
        <v>PQR Ltd</v>
      </c>
      <c r="AA23" s="6" t="str">
        <v>Cash</v>
      </c>
    </row>
    <row r="24" spans="1:27" ht="17.100000000000001" customHeight="1" x14ac:dyDescent="0.25">
      <c r="A24" s="3" t="s">
        <v>104</v>
      </c>
      <c r="B24" s="3">
        <v>105</v>
      </c>
      <c r="C24" s="3" t="s">
        <v>63</v>
      </c>
      <c r="D24" s="3" t="s">
        <v>56</v>
      </c>
      <c r="E24" s="3" t="s">
        <v>64</v>
      </c>
      <c r="F24" s="3" t="s">
        <v>38</v>
      </c>
      <c r="G24" s="4">
        <v>45677</v>
      </c>
      <c r="H24" s="3">
        <v>22</v>
      </c>
      <c r="I24" s="3" t="s">
        <v>39</v>
      </c>
      <c r="J24" s="3" t="s">
        <v>40</v>
      </c>
      <c r="K24" s="3" t="s">
        <v>41</v>
      </c>
      <c r="L24" s="3" t="s">
        <v>31</v>
      </c>
      <c r="M24" s="4">
        <v>46069</v>
      </c>
      <c r="N24" s="3">
        <v>2</v>
      </c>
      <c r="O24" s="5">
        <v>30999</v>
      </c>
      <c r="P24" s="3">
        <v>5</v>
      </c>
      <c r="Q24" s="5">
        <v>61998</v>
      </c>
      <c r="R24" s="5">
        <v>3099.9</v>
      </c>
      <c r="S24" s="5">
        <v>58898.1</v>
      </c>
      <c r="T24" s="5">
        <v>11779.62</v>
      </c>
      <c r="U24" s="3" t="s">
        <v>42</v>
      </c>
      <c r="V24" s="3" t="s">
        <v>33</v>
      </c>
      <c r="W24" s="3" t="s">
        <v>61</v>
      </c>
      <c r="Y24" s="6" t="s">
        <v>104</v>
      </c>
      <c r="Z24" s="6" t="str">
        <v>LMN Ltd</v>
      </c>
      <c r="AA24" s="6" t="str">
        <v>UPI</v>
      </c>
    </row>
    <row r="25" spans="1:27" ht="17.100000000000001" customHeight="1" x14ac:dyDescent="0.25">
      <c r="A25" s="3" t="s">
        <v>105</v>
      </c>
      <c r="B25" s="3">
        <v>106</v>
      </c>
      <c r="C25" s="3" t="s">
        <v>71</v>
      </c>
      <c r="D25" s="3" t="s">
        <v>56</v>
      </c>
      <c r="E25" s="3" t="s">
        <v>26</v>
      </c>
      <c r="F25" s="3" t="s">
        <v>38</v>
      </c>
      <c r="G25" s="4">
        <v>45679</v>
      </c>
      <c r="H25" s="3">
        <v>24</v>
      </c>
      <c r="I25" s="3" t="s">
        <v>48</v>
      </c>
      <c r="J25" s="3" t="s">
        <v>49</v>
      </c>
      <c r="K25" s="3" t="s">
        <v>50</v>
      </c>
      <c r="L25" s="3" t="s">
        <v>31</v>
      </c>
      <c r="M25" s="4">
        <v>46071</v>
      </c>
      <c r="N25" s="3">
        <v>1</v>
      </c>
      <c r="O25" s="5">
        <v>16999</v>
      </c>
      <c r="P25" s="3">
        <v>10</v>
      </c>
      <c r="Q25" s="5">
        <v>16999</v>
      </c>
      <c r="R25" s="5">
        <v>1699.9</v>
      </c>
      <c r="S25" s="5">
        <v>15299.1</v>
      </c>
      <c r="T25" s="5">
        <v>3824.7750000000001</v>
      </c>
      <c r="U25" s="3" t="s">
        <v>51</v>
      </c>
      <c r="V25" s="3" t="s">
        <v>43</v>
      </c>
      <c r="W25" s="3" t="s">
        <v>69</v>
      </c>
      <c r="Y25" s="6" t="s">
        <v>105</v>
      </c>
      <c r="Z25" s="6" t="str">
        <v>DEF Ltd</v>
      </c>
      <c r="AA25" s="6" t="str">
        <v>Credit Card</v>
      </c>
    </row>
    <row r="26" spans="1:27" ht="17.100000000000001" customHeight="1" x14ac:dyDescent="0.25">
      <c r="A26" s="3" t="s">
        <v>106</v>
      </c>
      <c r="B26" s="3">
        <v>107</v>
      </c>
      <c r="C26" s="3" t="s">
        <v>74</v>
      </c>
      <c r="D26" s="3" t="s">
        <v>25</v>
      </c>
      <c r="E26" s="3" t="s">
        <v>26</v>
      </c>
      <c r="F26" s="3" t="s">
        <v>27</v>
      </c>
      <c r="G26" s="4">
        <v>45682</v>
      </c>
      <c r="H26" s="3">
        <v>27</v>
      </c>
      <c r="I26" s="3" t="s">
        <v>57</v>
      </c>
      <c r="J26" s="3" t="s">
        <v>58</v>
      </c>
      <c r="K26" s="3" t="s">
        <v>59</v>
      </c>
      <c r="L26" s="3" t="s">
        <v>31</v>
      </c>
      <c r="M26" s="4">
        <v>46073</v>
      </c>
      <c r="N26" s="3">
        <v>3</v>
      </c>
      <c r="O26" s="5">
        <v>27999</v>
      </c>
      <c r="P26" s="3">
        <v>5</v>
      </c>
      <c r="Q26" s="5">
        <v>83997</v>
      </c>
      <c r="R26" s="5">
        <v>4199.8500000000004</v>
      </c>
      <c r="S26" s="5">
        <v>79797.149999999994</v>
      </c>
      <c r="T26" s="5">
        <v>23939.145</v>
      </c>
      <c r="U26" s="3" t="s">
        <v>60</v>
      </c>
      <c r="V26" s="3" t="s">
        <v>52</v>
      </c>
      <c r="W26" s="3" t="s">
        <v>72</v>
      </c>
      <c r="Y26" s="6" t="s">
        <v>106</v>
      </c>
      <c r="Z26" s="6" t="str">
        <v>GHI Ltd</v>
      </c>
      <c r="AA26" s="6" t="str">
        <v>Debit Card</v>
      </c>
    </row>
    <row r="27" spans="1:27" ht="17.100000000000001" customHeight="1" x14ac:dyDescent="0.25">
      <c r="A27" s="3" t="s">
        <v>107</v>
      </c>
      <c r="B27" s="3">
        <v>108</v>
      </c>
      <c r="C27" s="3" t="s">
        <v>76</v>
      </c>
      <c r="D27" s="3" t="s">
        <v>47</v>
      </c>
      <c r="E27" s="3" t="s">
        <v>37</v>
      </c>
      <c r="F27" s="3" t="s">
        <v>27</v>
      </c>
      <c r="G27" s="4">
        <v>45685</v>
      </c>
      <c r="H27" s="3">
        <v>21</v>
      </c>
      <c r="I27" s="3" t="s">
        <v>65</v>
      </c>
      <c r="J27" s="3" t="s">
        <v>66</v>
      </c>
      <c r="K27" s="3" t="s">
        <v>41</v>
      </c>
      <c r="L27" s="3" t="s">
        <v>67</v>
      </c>
      <c r="M27" s="4">
        <v>46075</v>
      </c>
      <c r="N27" s="3">
        <v>2</v>
      </c>
      <c r="O27" s="5">
        <v>8999</v>
      </c>
      <c r="P27" s="3">
        <v>8</v>
      </c>
      <c r="Q27" s="5">
        <v>17998</v>
      </c>
      <c r="R27" s="5">
        <v>1439.84</v>
      </c>
      <c r="S27" s="5">
        <v>16558.16</v>
      </c>
      <c r="T27" s="5">
        <v>1655.816</v>
      </c>
      <c r="U27" s="3" t="s">
        <v>68</v>
      </c>
      <c r="V27" s="3" t="s">
        <v>33</v>
      </c>
      <c r="W27" s="3" t="s">
        <v>34</v>
      </c>
      <c r="Y27" s="6" t="s">
        <v>107</v>
      </c>
      <c r="Z27" s="6" t="str">
        <v>ABC Ltd</v>
      </c>
      <c r="AA27" s="6" t="str">
        <v>EMI</v>
      </c>
    </row>
    <row r="28" spans="1:27" ht="17.100000000000001" customHeight="1" x14ac:dyDescent="0.25">
      <c r="A28" s="3" t="s">
        <v>108</v>
      </c>
      <c r="B28" s="3">
        <v>109</v>
      </c>
      <c r="C28" s="3" t="s">
        <v>78</v>
      </c>
      <c r="D28" s="3" t="s">
        <v>79</v>
      </c>
      <c r="E28" s="3" t="s">
        <v>64</v>
      </c>
      <c r="F28" s="3" t="s">
        <v>27</v>
      </c>
      <c r="G28" s="4">
        <v>45690</v>
      </c>
      <c r="H28" s="3">
        <v>26</v>
      </c>
      <c r="I28" s="3" t="s">
        <v>28</v>
      </c>
      <c r="J28" s="3" t="s">
        <v>29</v>
      </c>
      <c r="K28" s="3" t="s">
        <v>30</v>
      </c>
      <c r="L28" s="3" t="s">
        <v>31</v>
      </c>
      <c r="M28" s="4">
        <v>46077</v>
      </c>
      <c r="N28" s="3">
        <v>4</v>
      </c>
      <c r="O28" s="5">
        <v>69999</v>
      </c>
      <c r="P28" s="3">
        <v>12</v>
      </c>
      <c r="Q28" s="5">
        <v>279996</v>
      </c>
      <c r="R28" s="5">
        <v>33599.519999999997</v>
      </c>
      <c r="S28" s="5">
        <v>246396.48</v>
      </c>
      <c r="T28" s="5">
        <v>49279.296000000002</v>
      </c>
      <c r="U28" s="3" t="s">
        <v>32</v>
      </c>
      <c r="V28" s="3" t="s">
        <v>43</v>
      </c>
      <c r="W28" s="3" t="s">
        <v>44</v>
      </c>
      <c r="Y28" s="6" t="s">
        <v>108</v>
      </c>
      <c r="Z28" s="6" t="str">
        <v>XYZ Pvt</v>
      </c>
      <c r="AA28" s="6" t="str">
        <v>Cash</v>
      </c>
    </row>
    <row r="29" spans="1:27" ht="17.100000000000001" customHeight="1" x14ac:dyDescent="0.25">
      <c r="A29" s="3" t="s">
        <v>109</v>
      </c>
      <c r="B29" s="3">
        <v>110</v>
      </c>
      <c r="C29" s="3" t="s">
        <v>81</v>
      </c>
      <c r="D29" s="3" t="s">
        <v>82</v>
      </c>
      <c r="E29" s="3" t="s">
        <v>26</v>
      </c>
      <c r="F29" s="3" t="s">
        <v>38</v>
      </c>
      <c r="G29" s="4">
        <v>45693</v>
      </c>
      <c r="H29" s="3">
        <v>25</v>
      </c>
      <c r="I29" s="3" t="s">
        <v>39</v>
      </c>
      <c r="J29" s="3" t="s">
        <v>40</v>
      </c>
      <c r="K29" s="3" t="s">
        <v>41</v>
      </c>
      <c r="L29" s="3" t="s">
        <v>31</v>
      </c>
      <c r="M29" s="4">
        <v>46079</v>
      </c>
      <c r="N29" s="3">
        <v>1</v>
      </c>
      <c r="O29" s="5">
        <v>30999</v>
      </c>
      <c r="P29" s="3">
        <v>0</v>
      </c>
      <c r="Q29" s="5">
        <v>30999</v>
      </c>
      <c r="R29" s="5">
        <v>0</v>
      </c>
      <c r="S29" s="5">
        <v>30999</v>
      </c>
      <c r="T29" s="5">
        <v>7749.75</v>
      </c>
      <c r="U29" s="3" t="s">
        <v>42</v>
      </c>
      <c r="V29" s="3" t="s">
        <v>52</v>
      </c>
      <c r="W29" s="3" t="s">
        <v>53</v>
      </c>
      <c r="Y29" s="6" t="s">
        <v>109</v>
      </c>
      <c r="Z29" s="6" t="str">
        <v>PQR Ltd</v>
      </c>
      <c r="AA29" s="6" t="str">
        <v>UPI</v>
      </c>
    </row>
    <row r="30" spans="1:27" ht="17.100000000000001" customHeight="1" x14ac:dyDescent="0.25">
      <c r="A30" s="3" t="s">
        <v>110</v>
      </c>
      <c r="B30" s="3">
        <v>111</v>
      </c>
      <c r="C30" s="3" t="s">
        <v>84</v>
      </c>
      <c r="D30" s="3" t="s">
        <v>79</v>
      </c>
      <c r="E30" s="3" t="s">
        <v>37</v>
      </c>
      <c r="F30" s="3" t="s">
        <v>38</v>
      </c>
      <c r="G30" s="4">
        <v>45696</v>
      </c>
      <c r="H30" s="3">
        <v>27</v>
      </c>
      <c r="I30" s="3" t="s">
        <v>48</v>
      </c>
      <c r="J30" s="3" t="s">
        <v>49</v>
      </c>
      <c r="K30" s="3" t="s">
        <v>50</v>
      </c>
      <c r="L30" s="3" t="s">
        <v>31</v>
      </c>
      <c r="M30" s="4">
        <v>46081</v>
      </c>
      <c r="N30" s="3">
        <v>2</v>
      </c>
      <c r="O30" s="5">
        <v>16999</v>
      </c>
      <c r="P30" s="3">
        <v>7</v>
      </c>
      <c r="Q30" s="5">
        <v>33998</v>
      </c>
      <c r="R30" s="5">
        <v>2379.86</v>
      </c>
      <c r="S30" s="5">
        <v>31618.14</v>
      </c>
      <c r="T30" s="5">
        <v>9485.4419999999991</v>
      </c>
      <c r="U30" s="3" t="s">
        <v>51</v>
      </c>
      <c r="V30" s="3" t="s">
        <v>33</v>
      </c>
      <c r="W30" s="3" t="s">
        <v>61</v>
      </c>
      <c r="Y30" s="6" t="s">
        <v>110</v>
      </c>
      <c r="Z30" s="6" t="str">
        <v>LMN Ltd</v>
      </c>
      <c r="AA30" s="6" t="str">
        <v>Credit Card</v>
      </c>
    </row>
    <row r="31" spans="1:27" ht="17.100000000000001" customHeight="1" x14ac:dyDescent="0.25">
      <c r="A31" s="3" t="s">
        <v>111</v>
      </c>
      <c r="B31" s="3">
        <v>112</v>
      </c>
      <c r="C31" s="3" t="s">
        <v>86</v>
      </c>
      <c r="D31" s="3" t="s">
        <v>87</v>
      </c>
      <c r="E31" s="3" t="s">
        <v>88</v>
      </c>
      <c r="F31" s="3" t="s">
        <v>38</v>
      </c>
      <c r="G31" s="4">
        <v>45700</v>
      </c>
      <c r="H31" s="3">
        <v>28</v>
      </c>
      <c r="I31" s="3" t="s">
        <v>57</v>
      </c>
      <c r="J31" s="3" t="s">
        <v>58</v>
      </c>
      <c r="K31" s="3" t="s">
        <v>59</v>
      </c>
      <c r="L31" s="3" t="s">
        <v>31</v>
      </c>
      <c r="M31" s="4">
        <v>46083</v>
      </c>
      <c r="N31" s="3">
        <v>5</v>
      </c>
      <c r="O31" s="5">
        <v>27999</v>
      </c>
      <c r="P31" s="3">
        <v>10</v>
      </c>
      <c r="Q31" s="5">
        <v>139995</v>
      </c>
      <c r="R31" s="5">
        <v>13999.5</v>
      </c>
      <c r="S31" s="5">
        <v>125995.5</v>
      </c>
      <c r="T31" s="5">
        <v>12599.55</v>
      </c>
      <c r="U31" s="3" t="s">
        <v>60</v>
      </c>
      <c r="V31" s="3" t="s">
        <v>43</v>
      </c>
      <c r="W31" s="3" t="s">
        <v>69</v>
      </c>
      <c r="Y31" s="6" t="s">
        <v>111</v>
      </c>
      <c r="Z31" s="6" t="str">
        <v>DEF Ltd</v>
      </c>
      <c r="AA31" s="6" t="str">
        <v>Debit Card</v>
      </c>
    </row>
    <row r="32" spans="1:27" ht="17.100000000000001" customHeight="1" x14ac:dyDescent="0.25">
      <c r="A32" s="3" t="s">
        <v>112</v>
      </c>
      <c r="B32" s="3">
        <v>113</v>
      </c>
      <c r="C32" s="3" t="s">
        <v>90</v>
      </c>
      <c r="D32" s="3" t="s">
        <v>91</v>
      </c>
      <c r="E32" s="3" t="s">
        <v>26</v>
      </c>
      <c r="F32" s="3" t="s">
        <v>38</v>
      </c>
      <c r="G32" s="4">
        <v>45703</v>
      </c>
      <c r="H32" s="3">
        <v>20</v>
      </c>
      <c r="I32" s="3" t="s">
        <v>65</v>
      </c>
      <c r="J32" s="3" t="s">
        <v>66</v>
      </c>
      <c r="K32" s="3" t="s">
        <v>41</v>
      </c>
      <c r="L32" s="3" t="s">
        <v>67</v>
      </c>
      <c r="M32" s="4">
        <v>46085</v>
      </c>
      <c r="N32" s="3">
        <v>1</v>
      </c>
      <c r="O32" s="5">
        <v>8999</v>
      </c>
      <c r="P32" s="3">
        <v>5</v>
      </c>
      <c r="Q32" s="5">
        <v>8999</v>
      </c>
      <c r="R32" s="5">
        <v>449.95</v>
      </c>
      <c r="S32" s="5">
        <v>8549.0499999999993</v>
      </c>
      <c r="T32" s="5">
        <v>1709.81</v>
      </c>
      <c r="U32" s="3" t="s">
        <v>68</v>
      </c>
      <c r="V32" s="3" t="s">
        <v>52</v>
      </c>
      <c r="W32" s="3" t="s">
        <v>72</v>
      </c>
      <c r="Y32" s="6" t="s">
        <v>112</v>
      </c>
      <c r="Z32" s="6" t="str">
        <v>GHI Ltd</v>
      </c>
      <c r="AA32" s="6" t="str">
        <v>EMI</v>
      </c>
    </row>
    <row r="33" spans="1:27" ht="17.100000000000001" customHeight="1" x14ac:dyDescent="0.25">
      <c r="A33" s="3" t="s">
        <v>113</v>
      </c>
      <c r="B33" s="3">
        <v>114</v>
      </c>
      <c r="C33" s="3" t="s">
        <v>93</v>
      </c>
      <c r="D33" s="3" t="s">
        <v>91</v>
      </c>
      <c r="E33" s="3" t="s">
        <v>26</v>
      </c>
      <c r="F33" s="3" t="s">
        <v>38</v>
      </c>
      <c r="G33" s="4">
        <v>45706</v>
      </c>
      <c r="H33" s="3">
        <v>22</v>
      </c>
      <c r="I33" s="3" t="s">
        <v>28</v>
      </c>
      <c r="J33" s="3" t="s">
        <v>29</v>
      </c>
      <c r="K33" s="3" t="s">
        <v>30</v>
      </c>
      <c r="L33" s="3" t="s">
        <v>31</v>
      </c>
      <c r="M33" s="4">
        <v>46087</v>
      </c>
      <c r="N33" s="3">
        <v>1</v>
      </c>
      <c r="O33" s="5">
        <v>69999</v>
      </c>
      <c r="P33" s="3">
        <v>0</v>
      </c>
      <c r="Q33" s="5">
        <v>69999</v>
      </c>
      <c r="R33" s="5">
        <v>0</v>
      </c>
      <c r="S33" s="5">
        <v>69999</v>
      </c>
      <c r="T33" s="5">
        <v>17499.75</v>
      </c>
      <c r="U33" s="3" t="s">
        <v>32</v>
      </c>
      <c r="V33" s="3" t="s">
        <v>33</v>
      </c>
      <c r="W33" s="3" t="s">
        <v>34</v>
      </c>
      <c r="Y33" s="6" t="s">
        <v>113</v>
      </c>
      <c r="Z33" s="6" t="str">
        <v>ABC Ltd</v>
      </c>
      <c r="AA33" s="6" t="str">
        <v>Cash</v>
      </c>
    </row>
    <row r="34" spans="1:27" ht="17.100000000000001" customHeight="1" x14ac:dyDescent="0.25">
      <c r="A34" s="3" t="s">
        <v>114</v>
      </c>
      <c r="B34" s="3">
        <v>115</v>
      </c>
      <c r="C34" s="3" t="s">
        <v>95</v>
      </c>
      <c r="D34" s="3" t="s">
        <v>82</v>
      </c>
      <c r="E34" s="3" t="s">
        <v>37</v>
      </c>
      <c r="F34" s="3" t="s">
        <v>27</v>
      </c>
      <c r="G34" s="4">
        <v>45708</v>
      </c>
      <c r="H34" s="3">
        <v>24</v>
      </c>
      <c r="I34" s="3" t="s">
        <v>39</v>
      </c>
      <c r="J34" s="3" t="s">
        <v>40</v>
      </c>
      <c r="K34" s="3" t="s">
        <v>41</v>
      </c>
      <c r="L34" s="3" t="s">
        <v>31</v>
      </c>
      <c r="M34" s="4">
        <v>46089</v>
      </c>
      <c r="N34" s="3">
        <v>2</v>
      </c>
      <c r="O34" s="5">
        <v>30999</v>
      </c>
      <c r="P34" s="3">
        <v>5</v>
      </c>
      <c r="Q34" s="5">
        <v>61998</v>
      </c>
      <c r="R34" s="5">
        <v>3099.9</v>
      </c>
      <c r="S34" s="5">
        <v>58898.1</v>
      </c>
      <c r="T34" s="5">
        <v>17669.43</v>
      </c>
      <c r="U34" s="3" t="s">
        <v>42</v>
      </c>
      <c r="V34" s="3" t="s">
        <v>43</v>
      </c>
      <c r="W34" s="3" t="s">
        <v>44</v>
      </c>
      <c r="Y34" s="6" t="s">
        <v>114</v>
      </c>
      <c r="Z34" s="6" t="str">
        <v>XYZ Pvt</v>
      </c>
      <c r="AA34" s="6" t="str">
        <v>UPI</v>
      </c>
    </row>
    <row r="35" spans="1:27" ht="17.100000000000001" customHeight="1" x14ac:dyDescent="0.25">
      <c r="A35" s="3" t="s">
        <v>115</v>
      </c>
      <c r="B35" s="3">
        <v>116</v>
      </c>
      <c r="C35" s="3" t="s">
        <v>97</v>
      </c>
      <c r="D35" s="3" t="s">
        <v>82</v>
      </c>
      <c r="E35" s="3" t="s">
        <v>64</v>
      </c>
      <c r="F35" s="3" t="s">
        <v>27</v>
      </c>
      <c r="G35" s="4">
        <v>45710</v>
      </c>
      <c r="H35" s="3">
        <v>23</v>
      </c>
      <c r="I35" s="3" t="s">
        <v>48</v>
      </c>
      <c r="J35" s="3" t="s">
        <v>49</v>
      </c>
      <c r="K35" s="3" t="s">
        <v>50</v>
      </c>
      <c r="L35" s="3" t="s">
        <v>31</v>
      </c>
      <c r="M35" s="4">
        <v>46091</v>
      </c>
      <c r="N35" s="3">
        <v>1</v>
      </c>
      <c r="O35" s="5">
        <v>16999</v>
      </c>
      <c r="P35" s="3">
        <v>10</v>
      </c>
      <c r="Q35" s="5">
        <v>16999</v>
      </c>
      <c r="R35" s="5">
        <v>1699.9</v>
      </c>
      <c r="S35" s="5">
        <v>15299.1</v>
      </c>
      <c r="T35" s="5">
        <v>1529.91</v>
      </c>
      <c r="U35" s="3" t="s">
        <v>51</v>
      </c>
      <c r="V35" s="3" t="s">
        <v>52</v>
      </c>
      <c r="W35" s="3" t="s">
        <v>53</v>
      </c>
      <c r="Y35" s="6" t="s">
        <v>115</v>
      </c>
      <c r="Z35" s="6" t="str">
        <v>PQR Ltd</v>
      </c>
      <c r="AA35" s="6" t="str">
        <v>Credit Card</v>
      </c>
    </row>
    <row r="36" spans="1:27" ht="17.100000000000001" customHeight="1" x14ac:dyDescent="0.25">
      <c r="A36" s="3" t="s">
        <v>116</v>
      </c>
      <c r="B36" s="3">
        <v>117</v>
      </c>
      <c r="C36" s="3" t="s">
        <v>99</v>
      </c>
      <c r="D36" s="3" t="s">
        <v>47</v>
      </c>
      <c r="E36" s="3" t="s">
        <v>26</v>
      </c>
      <c r="F36" s="3" t="s">
        <v>38</v>
      </c>
      <c r="G36" s="4">
        <v>45713</v>
      </c>
      <c r="H36" s="3">
        <v>26</v>
      </c>
      <c r="I36" s="3" t="s">
        <v>57</v>
      </c>
      <c r="J36" s="3" t="s">
        <v>58</v>
      </c>
      <c r="K36" s="3" t="s">
        <v>59</v>
      </c>
      <c r="L36" s="3" t="s">
        <v>31</v>
      </c>
      <c r="M36" s="4">
        <v>46093</v>
      </c>
      <c r="N36" s="3">
        <v>3</v>
      </c>
      <c r="O36" s="5">
        <v>27999</v>
      </c>
      <c r="P36" s="3">
        <v>5</v>
      </c>
      <c r="Q36" s="5">
        <v>83997</v>
      </c>
      <c r="R36" s="5">
        <v>4199.8500000000004</v>
      </c>
      <c r="S36" s="5">
        <v>79797.149999999994</v>
      </c>
      <c r="T36" s="5">
        <v>15959.43</v>
      </c>
      <c r="U36" s="3" t="s">
        <v>60</v>
      </c>
      <c r="V36" s="3" t="s">
        <v>33</v>
      </c>
      <c r="W36" s="3" t="s">
        <v>61</v>
      </c>
      <c r="Y36" s="6" t="s">
        <v>116</v>
      </c>
      <c r="Z36" s="6" t="str">
        <v>LMN Ltd</v>
      </c>
      <c r="AA36" s="6" t="str">
        <v>Debit Card</v>
      </c>
    </row>
    <row r="37" spans="1:27" ht="17.100000000000001" customHeight="1" x14ac:dyDescent="0.25">
      <c r="A37" s="3" t="s">
        <v>117</v>
      </c>
      <c r="B37" s="3">
        <v>101</v>
      </c>
      <c r="C37" s="3" t="s">
        <v>24</v>
      </c>
      <c r="D37" s="3" t="s">
        <v>25</v>
      </c>
      <c r="E37" s="3" t="s">
        <v>26</v>
      </c>
      <c r="F37" s="3" t="s">
        <v>27</v>
      </c>
      <c r="G37" s="4">
        <v>45662</v>
      </c>
      <c r="H37" s="3">
        <v>25</v>
      </c>
      <c r="I37" s="3" t="s">
        <v>65</v>
      </c>
      <c r="J37" s="3" t="s">
        <v>66</v>
      </c>
      <c r="K37" s="3" t="s">
        <v>41</v>
      </c>
      <c r="L37" s="3" t="s">
        <v>67</v>
      </c>
      <c r="M37" s="4">
        <v>46095</v>
      </c>
      <c r="N37" s="3">
        <v>2</v>
      </c>
      <c r="O37" s="5">
        <v>8999</v>
      </c>
      <c r="P37" s="3">
        <v>8</v>
      </c>
      <c r="Q37" s="5">
        <v>17998</v>
      </c>
      <c r="R37" s="5">
        <v>1439.84</v>
      </c>
      <c r="S37" s="5">
        <v>16558.16</v>
      </c>
      <c r="T37" s="5">
        <v>4139.54</v>
      </c>
      <c r="U37" s="3" t="s">
        <v>68</v>
      </c>
      <c r="V37" s="3" t="s">
        <v>43</v>
      </c>
      <c r="W37" s="3" t="s">
        <v>69</v>
      </c>
      <c r="Y37" s="6" t="s">
        <v>117</v>
      </c>
      <c r="Z37" s="6" t="str">
        <v>DEF Ltd</v>
      </c>
      <c r="AA37" s="6" t="str">
        <v>EMI</v>
      </c>
    </row>
    <row r="38" spans="1:27" ht="17.100000000000001" customHeight="1" x14ac:dyDescent="0.25">
      <c r="A38" s="3" t="s">
        <v>118</v>
      </c>
      <c r="B38" s="3">
        <v>102</v>
      </c>
      <c r="C38" s="3" t="s">
        <v>36</v>
      </c>
      <c r="D38" s="3" t="s">
        <v>25</v>
      </c>
      <c r="E38" s="3" t="s">
        <v>37</v>
      </c>
      <c r="F38" s="3" t="s">
        <v>38</v>
      </c>
      <c r="G38" s="4">
        <v>45665</v>
      </c>
      <c r="H38" s="3">
        <v>24</v>
      </c>
      <c r="I38" s="3" t="s">
        <v>28</v>
      </c>
      <c r="J38" s="3" t="s">
        <v>29</v>
      </c>
      <c r="K38" s="3" t="s">
        <v>30</v>
      </c>
      <c r="L38" s="3" t="s">
        <v>31</v>
      </c>
      <c r="M38" s="4">
        <v>46097</v>
      </c>
      <c r="N38" s="3">
        <v>4</v>
      </c>
      <c r="O38" s="5">
        <v>69999</v>
      </c>
      <c r="P38" s="3">
        <v>12</v>
      </c>
      <c r="Q38" s="5">
        <v>279996</v>
      </c>
      <c r="R38" s="5">
        <v>33599.519999999997</v>
      </c>
      <c r="S38" s="5">
        <v>246396.48</v>
      </c>
      <c r="T38" s="5">
        <v>73918.944000000003</v>
      </c>
      <c r="U38" s="3" t="s">
        <v>32</v>
      </c>
      <c r="V38" s="3" t="s">
        <v>52</v>
      </c>
      <c r="W38" s="3" t="s">
        <v>72</v>
      </c>
      <c r="Y38" s="6" t="s">
        <v>118</v>
      </c>
      <c r="Z38" s="6" t="str">
        <v>GHI Ltd</v>
      </c>
      <c r="AA38" s="6" t="str">
        <v>Cash</v>
      </c>
    </row>
    <row r="39" spans="1:27" ht="17.100000000000001" customHeight="1" x14ac:dyDescent="0.25">
      <c r="A39" s="3" t="s">
        <v>119</v>
      </c>
      <c r="B39" s="3">
        <v>103</v>
      </c>
      <c r="C39" s="3" t="s">
        <v>46</v>
      </c>
      <c r="D39" s="3" t="s">
        <v>47</v>
      </c>
      <c r="E39" s="3" t="s">
        <v>26</v>
      </c>
      <c r="F39" s="3" t="s">
        <v>38</v>
      </c>
      <c r="G39" s="4">
        <v>45669</v>
      </c>
      <c r="H39" s="3">
        <v>23</v>
      </c>
      <c r="I39" s="3" t="s">
        <v>39</v>
      </c>
      <c r="J39" s="3" t="s">
        <v>40</v>
      </c>
      <c r="K39" s="3" t="s">
        <v>41</v>
      </c>
      <c r="L39" s="3" t="s">
        <v>31</v>
      </c>
      <c r="M39" s="4">
        <v>46099</v>
      </c>
      <c r="N39" s="3">
        <v>1</v>
      </c>
      <c r="O39" s="5">
        <v>30999</v>
      </c>
      <c r="P39" s="3">
        <v>0</v>
      </c>
      <c r="Q39" s="5">
        <v>30999</v>
      </c>
      <c r="R39" s="5">
        <v>0</v>
      </c>
      <c r="S39" s="5">
        <v>30999</v>
      </c>
      <c r="T39" s="5">
        <v>3099.9</v>
      </c>
      <c r="U39" s="3" t="s">
        <v>42</v>
      </c>
      <c r="V39" s="3" t="s">
        <v>33</v>
      </c>
      <c r="W39" s="3" t="s">
        <v>34</v>
      </c>
      <c r="Y39" s="6" t="s">
        <v>119</v>
      </c>
      <c r="Z39" s="6" t="str">
        <v>ABC Ltd</v>
      </c>
      <c r="AA39" s="6" t="str">
        <v>UPI</v>
      </c>
    </row>
    <row r="40" spans="1:27" ht="17.100000000000001" customHeight="1" x14ac:dyDescent="0.25">
      <c r="A40" s="3" t="s">
        <v>120</v>
      </c>
      <c r="B40" s="3">
        <v>104</v>
      </c>
      <c r="C40" s="3" t="s">
        <v>55</v>
      </c>
      <c r="D40" s="3" t="s">
        <v>56</v>
      </c>
      <c r="E40" s="3" t="s">
        <v>26</v>
      </c>
      <c r="F40" s="3" t="s">
        <v>38</v>
      </c>
      <c r="G40" s="4">
        <v>45672</v>
      </c>
      <c r="H40" s="3">
        <v>26</v>
      </c>
      <c r="I40" s="3" t="s">
        <v>48</v>
      </c>
      <c r="J40" s="3" t="s">
        <v>49</v>
      </c>
      <c r="K40" s="3" t="s">
        <v>50</v>
      </c>
      <c r="L40" s="3" t="s">
        <v>31</v>
      </c>
      <c r="M40" s="4">
        <v>46101</v>
      </c>
      <c r="N40" s="3">
        <v>2</v>
      </c>
      <c r="O40" s="5">
        <v>16999</v>
      </c>
      <c r="P40" s="3">
        <v>7</v>
      </c>
      <c r="Q40" s="5">
        <v>33998</v>
      </c>
      <c r="R40" s="5">
        <v>2379.86</v>
      </c>
      <c r="S40" s="5">
        <v>31618.14</v>
      </c>
      <c r="T40" s="5">
        <v>6323.6280000000006</v>
      </c>
      <c r="U40" s="3" t="s">
        <v>51</v>
      </c>
      <c r="V40" s="3" t="s">
        <v>43</v>
      </c>
      <c r="W40" s="3" t="s">
        <v>44</v>
      </c>
      <c r="Y40" s="6" t="s">
        <v>120</v>
      </c>
      <c r="Z40" s="6" t="str">
        <v>XYZ Pvt</v>
      </c>
      <c r="AA40" s="6" t="str">
        <v>Credit Card</v>
      </c>
    </row>
    <row r="41" spans="1:27" ht="17.100000000000001" customHeight="1" x14ac:dyDescent="0.25">
      <c r="A41" s="3" t="s">
        <v>121</v>
      </c>
      <c r="B41" s="3">
        <v>105</v>
      </c>
      <c r="C41" s="3" t="s">
        <v>63</v>
      </c>
      <c r="D41" s="3" t="s">
        <v>56</v>
      </c>
      <c r="E41" s="3" t="s">
        <v>64</v>
      </c>
      <c r="F41" s="3" t="s">
        <v>38</v>
      </c>
      <c r="G41" s="4">
        <v>45677</v>
      </c>
      <c r="H41" s="3">
        <v>22</v>
      </c>
      <c r="I41" s="3" t="s">
        <v>57</v>
      </c>
      <c r="J41" s="3" t="s">
        <v>58</v>
      </c>
      <c r="K41" s="3" t="s">
        <v>59</v>
      </c>
      <c r="L41" s="3" t="s">
        <v>31</v>
      </c>
      <c r="M41" s="4">
        <v>46103</v>
      </c>
      <c r="N41" s="3">
        <v>5</v>
      </c>
      <c r="O41" s="5">
        <v>27999</v>
      </c>
      <c r="P41" s="3">
        <v>10</v>
      </c>
      <c r="Q41" s="5">
        <v>139995</v>
      </c>
      <c r="R41" s="5">
        <v>13999.5</v>
      </c>
      <c r="S41" s="5">
        <v>125995.5</v>
      </c>
      <c r="T41" s="5">
        <v>31498.875</v>
      </c>
      <c r="U41" s="3" t="s">
        <v>60</v>
      </c>
      <c r="V41" s="3" t="s">
        <v>52</v>
      </c>
      <c r="W41" s="3" t="s">
        <v>53</v>
      </c>
      <c r="Y41" s="6" t="s">
        <v>121</v>
      </c>
      <c r="Z41" s="6" t="str">
        <v>PQR Ltd</v>
      </c>
      <c r="AA41" s="6" t="str">
        <v>Debit Card</v>
      </c>
    </row>
    <row r="42" spans="1:27" ht="17.100000000000001" customHeight="1" x14ac:dyDescent="0.25">
      <c r="A42" s="3" t="s">
        <v>122</v>
      </c>
      <c r="B42" s="3">
        <v>106</v>
      </c>
      <c r="C42" s="3" t="s">
        <v>71</v>
      </c>
      <c r="D42" s="3" t="s">
        <v>56</v>
      </c>
      <c r="E42" s="3" t="s">
        <v>26</v>
      </c>
      <c r="F42" s="3" t="s">
        <v>38</v>
      </c>
      <c r="G42" s="4">
        <v>45679</v>
      </c>
      <c r="H42" s="3">
        <v>24</v>
      </c>
      <c r="I42" s="3" t="s">
        <v>65</v>
      </c>
      <c r="J42" s="3" t="s">
        <v>66</v>
      </c>
      <c r="K42" s="3" t="s">
        <v>41</v>
      </c>
      <c r="L42" s="3" t="s">
        <v>67</v>
      </c>
      <c r="M42" s="4">
        <v>46105</v>
      </c>
      <c r="N42" s="3">
        <v>1</v>
      </c>
      <c r="O42" s="5">
        <v>8999</v>
      </c>
      <c r="P42" s="3">
        <v>5</v>
      </c>
      <c r="Q42" s="5">
        <v>8999</v>
      </c>
      <c r="R42" s="5">
        <v>449.95</v>
      </c>
      <c r="S42" s="5">
        <v>8549.0499999999993</v>
      </c>
      <c r="T42" s="5">
        <v>2564.7150000000001</v>
      </c>
      <c r="U42" s="3" t="s">
        <v>68</v>
      </c>
      <c r="V42" s="3" t="s">
        <v>33</v>
      </c>
      <c r="W42" s="3" t="s">
        <v>61</v>
      </c>
      <c r="Y42" s="6" t="s">
        <v>122</v>
      </c>
      <c r="Z42" s="6" t="str">
        <v>LMN Ltd</v>
      </c>
      <c r="AA42" s="6" t="str">
        <v>EMI</v>
      </c>
    </row>
    <row r="43" spans="1:27" ht="17.100000000000001" customHeight="1" x14ac:dyDescent="0.25">
      <c r="A43" s="3" t="s">
        <v>123</v>
      </c>
      <c r="B43" s="3">
        <v>107</v>
      </c>
      <c r="C43" s="3" t="s">
        <v>74</v>
      </c>
      <c r="D43" s="3" t="s">
        <v>25</v>
      </c>
      <c r="E43" s="3" t="s">
        <v>26</v>
      </c>
      <c r="F43" s="3" t="s">
        <v>27</v>
      </c>
      <c r="G43" s="4">
        <v>45682</v>
      </c>
      <c r="H43" s="3">
        <v>27</v>
      </c>
      <c r="I43" s="3" t="s">
        <v>28</v>
      </c>
      <c r="J43" s="3" t="s">
        <v>29</v>
      </c>
      <c r="K43" s="3" t="s">
        <v>30</v>
      </c>
      <c r="L43" s="3" t="s">
        <v>31</v>
      </c>
      <c r="M43" s="4">
        <v>46107</v>
      </c>
      <c r="N43" s="3">
        <v>1</v>
      </c>
      <c r="O43" s="5">
        <v>69999</v>
      </c>
      <c r="P43" s="3">
        <v>0</v>
      </c>
      <c r="Q43" s="5">
        <v>69999</v>
      </c>
      <c r="R43" s="5">
        <v>0</v>
      </c>
      <c r="S43" s="5">
        <v>69999</v>
      </c>
      <c r="T43" s="5">
        <v>6999.9000000000005</v>
      </c>
      <c r="U43" s="3" t="s">
        <v>32</v>
      </c>
      <c r="V43" s="3" t="s">
        <v>43</v>
      </c>
      <c r="W43" s="3" t="s">
        <v>69</v>
      </c>
      <c r="Y43" s="6" t="s">
        <v>123</v>
      </c>
      <c r="Z43" s="6" t="str">
        <v>DEF Ltd</v>
      </c>
      <c r="AA43" s="6" t="str">
        <v>Cash</v>
      </c>
    </row>
    <row r="44" spans="1:27" ht="17.100000000000001" customHeight="1" x14ac:dyDescent="0.25">
      <c r="A44" s="3" t="s">
        <v>124</v>
      </c>
      <c r="B44" s="3">
        <v>108</v>
      </c>
      <c r="C44" s="3" t="s">
        <v>76</v>
      </c>
      <c r="D44" s="3" t="s">
        <v>47</v>
      </c>
      <c r="E44" s="3" t="s">
        <v>37</v>
      </c>
      <c r="F44" s="3" t="s">
        <v>27</v>
      </c>
      <c r="G44" s="4">
        <v>45685</v>
      </c>
      <c r="H44" s="3">
        <v>21</v>
      </c>
      <c r="I44" s="3" t="s">
        <v>39</v>
      </c>
      <c r="J44" s="3" t="s">
        <v>40</v>
      </c>
      <c r="K44" s="3" t="s">
        <v>41</v>
      </c>
      <c r="L44" s="3" t="s">
        <v>31</v>
      </c>
      <c r="M44" s="4">
        <v>46109</v>
      </c>
      <c r="N44" s="3">
        <v>2</v>
      </c>
      <c r="O44" s="5">
        <v>30999</v>
      </c>
      <c r="P44" s="3">
        <v>5</v>
      </c>
      <c r="Q44" s="5">
        <v>61998</v>
      </c>
      <c r="R44" s="5">
        <v>3099.9</v>
      </c>
      <c r="S44" s="5">
        <v>58898.1</v>
      </c>
      <c r="T44" s="5">
        <v>11779.62</v>
      </c>
      <c r="U44" s="3" t="s">
        <v>42</v>
      </c>
      <c r="V44" s="3" t="s">
        <v>52</v>
      </c>
      <c r="W44" s="3" t="s">
        <v>72</v>
      </c>
      <c r="Y44" s="6" t="s">
        <v>124</v>
      </c>
      <c r="Z44" s="6" t="str">
        <v>GHI Ltd</v>
      </c>
      <c r="AA44" s="6" t="str">
        <v>UPI</v>
      </c>
    </row>
    <row r="45" spans="1:27" ht="17.100000000000001" customHeight="1" x14ac:dyDescent="0.25">
      <c r="A45" s="3" t="s">
        <v>125</v>
      </c>
      <c r="B45" s="3">
        <v>109</v>
      </c>
      <c r="C45" s="3" t="s">
        <v>78</v>
      </c>
      <c r="D45" s="3" t="s">
        <v>79</v>
      </c>
      <c r="E45" s="3" t="s">
        <v>64</v>
      </c>
      <c r="F45" s="3" t="s">
        <v>27</v>
      </c>
      <c r="G45" s="4">
        <v>45690</v>
      </c>
      <c r="H45" s="3">
        <v>26</v>
      </c>
      <c r="I45" s="3" t="s">
        <v>48</v>
      </c>
      <c r="J45" s="3" t="s">
        <v>49</v>
      </c>
      <c r="K45" s="3" t="s">
        <v>50</v>
      </c>
      <c r="L45" s="3" t="s">
        <v>31</v>
      </c>
      <c r="M45" s="4">
        <v>46111</v>
      </c>
      <c r="N45" s="3">
        <v>1</v>
      </c>
      <c r="O45" s="5">
        <v>16999</v>
      </c>
      <c r="P45" s="3">
        <v>10</v>
      </c>
      <c r="Q45" s="5">
        <v>16999</v>
      </c>
      <c r="R45" s="5">
        <v>1699.9</v>
      </c>
      <c r="S45" s="5">
        <v>15299.1</v>
      </c>
      <c r="T45" s="5">
        <v>3824.7750000000001</v>
      </c>
      <c r="U45" s="3" t="s">
        <v>51</v>
      </c>
      <c r="V45" s="3" t="s">
        <v>33</v>
      </c>
      <c r="W45" s="3" t="s">
        <v>34</v>
      </c>
      <c r="Y45" s="6" t="s">
        <v>125</v>
      </c>
      <c r="Z45" s="6" t="str">
        <v>ABC Ltd</v>
      </c>
      <c r="AA45" s="6" t="str">
        <v>Credit Card</v>
      </c>
    </row>
    <row r="46" spans="1:27" ht="17.100000000000001" customHeight="1" x14ac:dyDescent="0.25">
      <c r="A46" s="3" t="s">
        <v>126</v>
      </c>
      <c r="B46" s="3">
        <v>110</v>
      </c>
      <c r="C46" s="3" t="s">
        <v>81</v>
      </c>
      <c r="D46" s="3" t="s">
        <v>82</v>
      </c>
      <c r="E46" s="3" t="s">
        <v>26</v>
      </c>
      <c r="F46" s="3" t="s">
        <v>38</v>
      </c>
      <c r="G46" s="4">
        <v>45693</v>
      </c>
      <c r="H46" s="3">
        <v>25</v>
      </c>
      <c r="I46" s="3" t="s">
        <v>57</v>
      </c>
      <c r="J46" s="3" t="s">
        <v>58</v>
      </c>
      <c r="K46" s="3" t="s">
        <v>59</v>
      </c>
      <c r="L46" s="3" t="s">
        <v>31</v>
      </c>
      <c r="M46" s="4">
        <v>46113</v>
      </c>
      <c r="N46" s="3">
        <v>3</v>
      </c>
      <c r="O46" s="5">
        <v>27999</v>
      </c>
      <c r="P46" s="3">
        <v>5</v>
      </c>
      <c r="Q46" s="5">
        <v>83997</v>
      </c>
      <c r="R46" s="5">
        <v>4199.8500000000004</v>
      </c>
      <c r="S46" s="5">
        <v>79797.149999999994</v>
      </c>
      <c r="T46" s="5">
        <v>23939.145</v>
      </c>
      <c r="U46" s="3" t="s">
        <v>60</v>
      </c>
      <c r="V46" s="3" t="s">
        <v>43</v>
      </c>
      <c r="W46" s="3" t="s">
        <v>44</v>
      </c>
      <c r="Y46" s="6" t="s">
        <v>126</v>
      </c>
      <c r="Z46" s="6" t="str">
        <v>XYZ Pvt</v>
      </c>
      <c r="AA46" s="6" t="str">
        <v>Debit Card</v>
      </c>
    </row>
    <row r="47" spans="1:27" ht="17.100000000000001" customHeight="1" x14ac:dyDescent="0.25">
      <c r="A47" s="3" t="s">
        <v>127</v>
      </c>
      <c r="B47" s="3">
        <v>111</v>
      </c>
      <c r="C47" s="3" t="s">
        <v>84</v>
      </c>
      <c r="D47" s="3" t="s">
        <v>79</v>
      </c>
      <c r="E47" s="3" t="s">
        <v>37</v>
      </c>
      <c r="F47" s="3" t="s">
        <v>38</v>
      </c>
      <c r="G47" s="4">
        <v>45696</v>
      </c>
      <c r="H47" s="3">
        <v>27</v>
      </c>
      <c r="I47" s="3" t="s">
        <v>65</v>
      </c>
      <c r="J47" s="3" t="s">
        <v>66</v>
      </c>
      <c r="K47" s="3" t="s">
        <v>41</v>
      </c>
      <c r="L47" s="3" t="s">
        <v>67</v>
      </c>
      <c r="M47" s="4">
        <v>46115</v>
      </c>
      <c r="N47" s="3">
        <v>2</v>
      </c>
      <c r="O47" s="5">
        <v>8999</v>
      </c>
      <c r="P47" s="3">
        <v>8</v>
      </c>
      <c r="Q47" s="5">
        <v>17998</v>
      </c>
      <c r="R47" s="5">
        <v>1439.84</v>
      </c>
      <c r="S47" s="5">
        <v>16558.16</v>
      </c>
      <c r="T47" s="5">
        <v>1655.816</v>
      </c>
      <c r="U47" s="3" t="s">
        <v>68</v>
      </c>
      <c r="V47" s="3" t="s">
        <v>52</v>
      </c>
      <c r="W47" s="3" t="s">
        <v>53</v>
      </c>
      <c r="Y47" s="6" t="s">
        <v>127</v>
      </c>
      <c r="Z47" s="6" t="str">
        <v>PQR Ltd</v>
      </c>
      <c r="AA47" s="6" t="str">
        <v>EMI</v>
      </c>
    </row>
    <row r="48" spans="1:27" ht="17.100000000000001" customHeight="1" x14ac:dyDescent="0.25">
      <c r="A48" s="3" t="s">
        <v>128</v>
      </c>
      <c r="B48" s="3">
        <v>112</v>
      </c>
      <c r="C48" s="3" t="s">
        <v>86</v>
      </c>
      <c r="D48" s="3" t="s">
        <v>87</v>
      </c>
      <c r="E48" s="3" t="s">
        <v>88</v>
      </c>
      <c r="F48" s="3" t="s">
        <v>38</v>
      </c>
      <c r="G48" s="4">
        <v>45700</v>
      </c>
      <c r="H48" s="3">
        <v>28</v>
      </c>
      <c r="I48" s="3" t="s">
        <v>28</v>
      </c>
      <c r="J48" s="3" t="s">
        <v>29</v>
      </c>
      <c r="K48" s="3" t="s">
        <v>30</v>
      </c>
      <c r="L48" s="3" t="s">
        <v>31</v>
      </c>
      <c r="M48" s="4">
        <v>46117</v>
      </c>
      <c r="N48" s="3">
        <v>4</v>
      </c>
      <c r="O48" s="5">
        <v>69999</v>
      </c>
      <c r="P48" s="3">
        <v>12</v>
      </c>
      <c r="Q48" s="5">
        <v>279996</v>
      </c>
      <c r="R48" s="5">
        <v>33599.519999999997</v>
      </c>
      <c r="S48" s="5">
        <v>246396.48</v>
      </c>
      <c r="T48" s="5">
        <v>49279.296000000002</v>
      </c>
      <c r="U48" s="3" t="s">
        <v>32</v>
      </c>
      <c r="V48" s="3" t="s">
        <v>33</v>
      </c>
      <c r="W48" s="3" t="s">
        <v>61</v>
      </c>
      <c r="Y48" s="6" t="s">
        <v>128</v>
      </c>
      <c r="Z48" s="6" t="str">
        <v>LMN Ltd</v>
      </c>
      <c r="AA48" s="6" t="str">
        <v>Cash</v>
      </c>
    </row>
    <row r="49" spans="1:27" ht="17.100000000000001" customHeight="1" x14ac:dyDescent="0.25">
      <c r="A49" s="3" t="s">
        <v>129</v>
      </c>
      <c r="B49" s="3">
        <v>113</v>
      </c>
      <c r="C49" s="3" t="s">
        <v>90</v>
      </c>
      <c r="D49" s="3" t="s">
        <v>91</v>
      </c>
      <c r="E49" s="3" t="s">
        <v>26</v>
      </c>
      <c r="F49" s="3" t="s">
        <v>38</v>
      </c>
      <c r="G49" s="4">
        <v>45703</v>
      </c>
      <c r="H49" s="3">
        <v>20</v>
      </c>
      <c r="I49" s="3" t="s">
        <v>39</v>
      </c>
      <c r="J49" s="3" t="s">
        <v>40</v>
      </c>
      <c r="K49" s="3" t="s">
        <v>41</v>
      </c>
      <c r="L49" s="3" t="s">
        <v>31</v>
      </c>
      <c r="M49" s="4">
        <v>46119</v>
      </c>
      <c r="N49" s="3">
        <v>1</v>
      </c>
      <c r="O49" s="5">
        <v>30999</v>
      </c>
      <c r="P49" s="3">
        <v>0</v>
      </c>
      <c r="Q49" s="5">
        <v>30999</v>
      </c>
      <c r="R49" s="5">
        <v>0</v>
      </c>
      <c r="S49" s="5">
        <v>30999</v>
      </c>
      <c r="T49" s="5">
        <v>7749.75</v>
      </c>
      <c r="U49" s="3" t="s">
        <v>42</v>
      </c>
      <c r="V49" s="3" t="s">
        <v>43</v>
      </c>
      <c r="W49" s="3" t="s">
        <v>69</v>
      </c>
      <c r="Y49" s="6" t="s">
        <v>129</v>
      </c>
      <c r="Z49" s="6" t="str">
        <v>DEF Ltd</v>
      </c>
      <c r="AA49" s="6" t="str">
        <v>UPI</v>
      </c>
    </row>
    <row r="50" spans="1:27" ht="17.100000000000001" customHeight="1" x14ac:dyDescent="0.25">
      <c r="A50" s="3" t="s">
        <v>130</v>
      </c>
      <c r="B50" s="3">
        <v>114</v>
      </c>
      <c r="C50" s="3" t="s">
        <v>93</v>
      </c>
      <c r="D50" s="3" t="s">
        <v>91</v>
      </c>
      <c r="E50" s="3" t="s">
        <v>26</v>
      </c>
      <c r="F50" s="3" t="s">
        <v>38</v>
      </c>
      <c r="G50" s="4">
        <v>45706</v>
      </c>
      <c r="H50" s="3">
        <v>22</v>
      </c>
      <c r="I50" s="3" t="s">
        <v>48</v>
      </c>
      <c r="J50" s="3" t="s">
        <v>49</v>
      </c>
      <c r="K50" s="3" t="s">
        <v>50</v>
      </c>
      <c r="L50" s="3" t="s">
        <v>31</v>
      </c>
      <c r="M50" s="4">
        <v>46121</v>
      </c>
      <c r="N50" s="3">
        <v>2</v>
      </c>
      <c r="O50" s="5">
        <v>16999</v>
      </c>
      <c r="P50" s="3">
        <v>7</v>
      </c>
      <c r="Q50" s="5">
        <v>33998</v>
      </c>
      <c r="R50" s="5">
        <v>2379.86</v>
      </c>
      <c r="S50" s="5">
        <v>31618.14</v>
      </c>
      <c r="T50" s="5">
        <v>9485.4419999999991</v>
      </c>
      <c r="U50" s="3" t="s">
        <v>51</v>
      </c>
      <c r="V50" s="3" t="s">
        <v>52</v>
      </c>
      <c r="W50" s="3" t="s">
        <v>72</v>
      </c>
      <c r="Y50" s="6" t="s">
        <v>130</v>
      </c>
      <c r="Z50" s="6" t="str">
        <v>GHI Ltd</v>
      </c>
      <c r="AA50" s="6" t="str">
        <v>Credit Card</v>
      </c>
    </row>
    <row r="51" spans="1:27" ht="17.100000000000001" customHeight="1" x14ac:dyDescent="0.25">
      <c r="A51" s="3" t="s">
        <v>131</v>
      </c>
      <c r="B51" s="3">
        <v>115</v>
      </c>
      <c r="C51" s="3" t="s">
        <v>95</v>
      </c>
      <c r="D51" s="3" t="s">
        <v>82</v>
      </c>
      <c r="E51" s="3" t="s">
        <v>37</v>
      </c>
      <c r="F51" s="3" t="s">
        <v>27</v>
      </c>
      <c r="G51" s="4">
        <v>45708</v>
      </c>
      <c r="H51" s="3">
        <v>24</v>
      </c>
      <c r="I51" s="3" t="s">
        <v>57</v>
      </c>
      <c r="J51" s="3" t="s">
        <v>58</v>
      </c>
      <c r="K51" s="3" t="s">
        <v>59</v>
      </c>
      <c r="L51" s="3" t="s">
        <v>31</v>
      </c>
      <c r="M51" s="4">
        <v>46123</v>
      </c>
      <c r="N51" s="3">
        <v>5</v>
      </c>
      <c r="O51" s="5">
        <v>27999</v>
      </c>
      <c r="P51" s="3">
        <v>10</v>
      </c>
      <c r="Q51" s="5">
        <v>139995</v>
      </c>
      <c r="R51" s="5">
        <v>13999.5</v>
      </c>
      <c r="S51" s="5">
        <v>125995.5</v>
      </c>
      <c r="T51" s="5">
        <v>12599.55</v>
      </c>
      <c r="U51" s="3" t="s">
        <v>60</v>
      </c>
      <c r="V51" s="3" t="s">
        <v>33</v>
      </c>
      <c r="W51" s="3" t="s">
        <v>34</v>
      </c>
      <c r="Y51" s="6" t="s">
        <v>131</v>
      </c>
      <c r="Z51" s="6" t="str">
        <v>ABC Ltd</v>
      </c>
      <c r="AA51" s="6" t="str">
        <v>Debit Card</v>
      </c>
    </row>
    <row r="52" spans="1:27" ht="17.100000000000001" customHeight="1" x14ac:dyDescent="0.25">
      <c r="A52" s="3" t="s">
        <v>132</v>
      </c>
      <c r="B52" s="3">
        <v>116</v>
      </c>
      <c r="C52" s="3" t="s">
        <v>97</v>
      </c>
      <c r="D52" s="3" t="s">
        <v>82</v>
      </c>
      <c r="E52" s="3" t="s">
        <v>64</v>
      </c>
      <c r="F52" s="3" t="s">
        <v>27</v>
      </c>
      <c r="G52" s="4">
        <v>45710</v>
      </c>
      <c r="H52" s="3">
        <v>23</v>
      </c>
      <c r="I52" s="3" t="s">
        <v>65</v>
      </c>
      <c r="J52" s="3" t="s">
        <v>66</v>
      </c>
      <c r="K52" s="3" t="s">
        <v>41</v>
      </c>
      <c r="L52" s="3" t="s">
        <v>67</v>
      </c>
      <c r="M52" s="4">
        <v>46125</v>
      </c>
      <c r="N52" s="3">
        <v>1</v>
      </c>
      <c r="O52" s="5">
        <v>8999</v>
      </c>
      <c r="P52" s="3">
        <v>5</v>
      </c>
      <c r="Q52" s="5">
        <v>8999</v>
      </c>
      <c r="R52" s="5">
        <v>449.95</v>
      </c>
      <c r="S52" s="5">
        <v>8549.0499999999993</v>
      </c>
      <c r="T52" s="5">
        <v>1709.81</v>
      </c>
      <c r="U52" s="3" t="s">
        <v>68</v>
      </c>
      <c r="V52" s="3" t="s">
        <v>43</v>
      </c>
      <c r="W52" s="3" t="s">
        <v>44</v>
      </c>
      <c r="Y52" s="6" t="s">
        <v>132</v>
      </c>
      <c r="Z52" s="6" t="str">
        <v>XYZ Pvt</v>
      </c>
      <c r="AA52" s="6" t="str">
        <v>EMI</v>
      </c>
    </row>
  </sheetData>
  <mergeCells count="1">
    <mergeCell ref="Y1:AA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0226-6913-4DF9-9692-AC8CD374B710}">
  <dimension ref="A1:W52"/>
  <sheetViews>
    <sheetView topLeftCell="I25" workbookViewId="0">
      <selection activeCell="O54" sqref="O54"/>
    </sheetView>
  </sheetViews>
  <sheetFormatPr defaultRowHeight="15" x14ac:dyDescent="0.25"/>
  <cols>
    <col min="1" max="13" width="10.7109375" customWidth="1"/>
    <col min="14" max="14" width="30" customWidth="1"/>
    <col min="15" max="15" width="26.28515625" customWidth="1"/>
    <col min="16" max="20" width="10.7109375" customWidth="1"/>
    <col min="21" max="21" width="25" customWidth="1"/>
    <col min="22" max="23" width="10.7109375" customWidth="1"/>
  </cols>
  <sheetData>
    <row r="1" spans="1:23" ht="17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4" t="s">
        <v>13</v>
      </c>
      <c r="O1" s="2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4" t="s">
        <v>20</v>
      </c>
      <c r="V1" s="1" t="s">
        <v>21</v>
      </c>
      <c r="W1" s="1" t="s">
        <v>22</v>
      </c>
    </row>
    <row r="2" spans="1:23" ht="17.100000000000001" customHeight="1" x14ac:dyDescent="0.25">
      <c r="A2" s="3" t="s">
        <v>23</v>
      </c>
      <c r="B2" s="3">
        <v>101</v>
      </c>
      <c r="C2" s="3" t="s">
        <v>24</v>
      </c>
      <c r="D2" s="3" t="s">
        <v>25</v>
      </c>
      <c r="E2" s="3" t="s">
        <v>26</v>
      </c>
      <c r="F2" s="3" t="s">
        <v>27</v>
      </c>
      <c r="G2" s="4">
        <v>45662</v>
      </c>
      <c r="H2" s="3">
        <v>25</v>
      </c>
      <c r="I2" s="3" t="s">
        <v>28</v>
      </c>
      <c r="J2" s="3" t="s">
        <v>29</v>
      </c>
      <c r="K2" s="3" t="s">
        <v>30</v>
      </c>
      <c r="L2" s="3" t="s">
        <v>31</v>
      </c>
      <c r="M2" s="4">
        <v>46027</v>
      </c>
      <c r="N2" s="6">
        <v>1</v>
      </c>
      <c r="O2" s="10">
        <v>69999</v>
      </c>
      <c r="P2" s="3">
        <v>0</v>
      </c>
      <c r="Q2" s="5">
        <v>69999</v>
      </c>
      <c r="R2" s="5">
        <v>0</v>
      </c>
      <c r="S2" s="5">
        <v>69999</v>
      </c>
      <c r="T2" s="5">
        <v>6999.9000000000005</v>
      </c>
      <c r="U2" s="6" t="s">
        <v>32</v>
      </c>
      <c r="V2" s="3" t="s">
        <v>33</v>
      </c>
      <c r="W2" s="3" t="s">
        <v>34</v>
      </c>
    </row>
    <row r="3" spans="1:23" ht="17.100000000000001" customHeight="1" x14ac:dyDescent="0.25">
      <c r="A3" s="3" t="s">
        <v>35</v>
      </c>
      <c r="B3" s="3">
        <v>102</v>
      </c>
      <c r="C3" s="3" t="s">
        <v>36</v>
      </c>
      <c r="D3" s="3" t="s">
        <v>25</v>
      </c>
      <c r="E3" s="3" t="s">
        <v>37</v>
      </c>
      <c r="F3" s="3" t="s">
        <v>38</v>
      </c>
      <c r="G3" s="4">
        <v>45665</v>
      </c>
      <c r="H3" s="3">
        <v>24</v>
      </c>
      <c r="I3" s="3" t="s">
        <v>39</v>
      </c>
      <c r="J3" s="3" t="s">
        <v>40</v>
      </c>
      <c r="K3" s="3" t="s">
        <v>41</v>
      </c>
      <c r="L3" s="3" t="s">
        <v>31</v>
      </c>
      <c r="M3" s="4">
        <v>46029</v>
      </c>
      <c r="N3" s="6">
        <v>2</v>
      </c>
      <c r="O3" s="10">
        <v>30999</v>
      </c>
      <c r="P3" s="3">
        <v>5</v>
      </c>
      <c r="Q3" s="5">
        <v>61998</v>
      </c>
      <c r="R3" s="5">
        <v>3099.9</v>
      </c>
      <c r="S3" s="5">
        <v>58898.1</v>
      </c>
      <c r="T3" s="5">
        <v>11779.62</v>
      </c>
      <c r="U3" s="6" t="s">
        <v>42</v>
      </c>
      <c r="V3" s="3" t="s">
        <v>43</v>
      </c>
      <c r="W3" s="3" t="s">
        <v>44</v>
      </c>
    </row>
    <row r="4" spans="1:23" ht="17.100000000000001" customHeight="1" x14ac:dyDescent="0.25">
      <c r="A4" s="3" t="s">
        <v>45</v>
      </c>
      <c r="B4" s="3">
        <v>103</v>
      </c>
      <c r="C4" s="3" t="s">
        <v>46</v>
      </c>
      <c r="D4" s="3" t="s">
        <v>47</v>
      </c>
      <c r="E4" s="3" t="s">
        <v>26</v>
      </c>
      <c r="F4" s="3" t="s">
        <v>38</v>
      </c>
      <c r="G4" s="4">
        <v>45669</v>
      </c>
      <c r="H4" s="3">
        <v>23</v>
      </c>
      <c r="I4" s="3" t="s">
        <v>48</v>
      </c>
      <c r="J4" s="3" t="s">
        <v>49</v>
      </c>
      <c r="K4" s="3" t="s">
        <v>50</v>
      </c>
      <c r="L4" s="3" t="s">
        <v>31</v>
      </c>
      <c r="M4" s="4">
        <v>46031</v>
      </c>
      <c r="N4" s="6">
        <v>1</v>
      </c>
      <c r="O4" s="10">
        <v>16999</v>
      </c>
      <c r="P4" s="3">
        <v>10</v>
      </c>
      <c r="Q4" s="5">
        <v>16999</v>
      </c>
      <c r="R4" s="5">
        <v>1699.9</v>
      </c>
      <c r="S4" s="5">
        <v>15299.1</v>
      </c>
      <c r="T4" s="5">
        <v>3824.7750000000001</v>
      </c>
      <c r="U4" s="6" t="s">
        <v>51</v>
      </c>
      <c r="V4" s="3" t="s">
        <v>52</v>
      </c>
      <c r="W4" s="3" t="s">
        <v>53</v>
      </c>
    </row>
    <row r="5" spans="1:23" ht="17.100000000000001" customHeight="1" x14ac:dyDescent="0.25">
      <c r="A5" s="3" t="s">
        <v>54</v>
      </c>
      <c r="B5" s="3">
        <v>104</v>
      </c>
      <c r="C5" s="3" t="s">
        <v>55</v>
      </c>
      <c r="D5" s="3" t="s">
        <v>56</v>
      </c>
      <c r="E5" s="3" t="s">
        <v>26</v>
      </c>
      <c r="F5" s="3" t="s">
        <v>38</v>
      </c>
      <c r="G5" s="4">
        <v>45672</v>
      </c>
      <c r="H5" s="3">
        <v>26</v>
      </c>
      <c r="I5" s="3" t="s">
        <v>57</v>
      </c>
      <c r="J5" s="3" t="s">
        <v>58</v>
      </c>
      <c r="K5" s="3" t="s">
        <v>59</v>
      </c>
      <c r="L5" s="3" t="s">
        <v>31</v>
      </c>
      <c r="M5" s="4">
        <v>46033</v>
      </c>
      <c r="N5" s="6">
        <v>3</v>
      </c>
      <c r="O5" s="10">
        <v>27999</v>
      </c>
      <c r="P5" s="3">
        <v>5</v>
      </c>
      <c r="Q5" s="5">
        <v>83997</v>
      </c>
      <c r="R5" s="5">
        <v>4199.8500000000004</v>
      </c>
      <c r="S5" s="5">
        <v>79797.149999999994</v>
      </c>
      <c r="T5" s="5">
        <v>23939.145</v>
      </c>
      <c r="U5" s="6" t="s">
        <v>60</v>
      </c>
      <c r="V5" s="3" t="s">
        <v>33</v>
      </c>
      <c r="W5" s="3" t="s">
        <v>61</v>
      </c>
    </row>
    <row r="6" spans="1:23" ht="17.100000000000001" customHeight="1" x14ac:dyDescent="0.25">
      <c r="A6" s="3" t="s">
        <v>62</v>
      </c>
      <c r="B6" s="3">
        <v>105</v>
      </c>
      <c r="C6" s="3" t="s">
        <v>63</v>
      </c>
      <c r="D6" s="3" t="s">
        <v>56</v>
      </c>
      <c r="E6" s="3" t="s">
        <v>64</v>
      </c>
      <c r="F6" s="3" t="s">
        <v>38</v>
      </c>
      <c r="G6" s="4">
        <v>45677</v>
      </c>
      <c r="H6" s="3">
        <v>22</v>
      </c>
      <c r="I6" s="3" t="s">
        <v>65</v>
      </c>
      <c r="J6" s="3" t="s">
        <v>66</v>
      </c>
      <c r="K6" s="3" t="s">
        <v>41</v>
      </c>
      <c r="L6" s="3" t="s">
        <v>67</v>
      </c>
      <c r="M6" s="4">
        <v>46035</v>
      </c>
      <c r="N6" s="6">
        <v>2</v>
      </c>
      <c r="O6" s="10">
        <v>8999</v>
      </c>
      <c r="P6" s="3">
        <v>8</v>
      </c>
      <c r="Q6" s="5">
        <v>17998</v>
      </c>
      <c r="R6" s="5">
        <v>1439.84</v>
      </c>
      <c r="S6" s="5">
        <v>16558.16</v>
      </c>
      <c r="T6" s="5">
        <v>1655.816</v>
      </c>
      <c r="U6" s="6" t="s">
        <v>68</v>
      </c>
      <c r="V6" s="3" t="s">
        <v>43</v>
      </c>
      <c r="W6" s="3" t="s">
        <v>69</v>
      </c>
    </row>
    <row r="7" spans="1:23" ht="17.100000000000001" customHeight="1" x14ac:dyDescent="0.25">
      <c r="A7" s="3" t="s">
        <v>70</v>
      </c>
      <c r="B7" s="3">
        <v>106</v>
      </c>
      <c r="C7" s="3" t="s">
        <v>71</v>
      </c>
      <c r="D7" s="3" t="s">
        <v>56</v>
      </c>
      <c r="E7" s="3" t="s">
        <v>26</v>
      </c>
      <c r="F7" s="3" t="s">
        <v>38</v>
      </c>
      <c r="G7" s="4">
        <v>45679</v>
      </c>
      <c r="H7" s="3">
        <v>24</v>
      </c>
      <c r="I7" s="3" t="s">
        <v>28</v>
      </c>
      <c r="J7" s="3" t="s">
        <v>29</v>
      </c>
      <c r="K7" s="3" t="s">
        <v>30</v>
      </c>
      <c r="L7" s="3" t="s">
        <v>31</v>
      </c>
      <c r="M7" s="4">
        <v>46037</v>
      </c>
      <c r="N7" s="6">
        <v>4</v>
      </c>
      <c r="O7" s="10">
        <v>69999</v>
      </c>
      <c r="P7" s="3">
        <v>12</v>
      </c>
      <c r="Q7" s="5">
        <v>279996</v>
      </c>
      <c r="R7" s="5">
        <v>33599.519999999997</v>
      </c>
      <c r="S7" s="5">
        <v>246396.48</v>
      </c>
      <c r="T7" s="5">
        <v>49279.296000000002</v>
      </c>
      <c r="U7" s="6" t="s">
        <v>32</v>
      </c>
      <c r="V7" s="3" t="s">
        <v>52</v>
      </c>
      <c r="W7" s="3" t="s">
        <v>72</v>
      </c>
    </row>
    <row r="8" spans="1:23" ht="17.100000000000001" customHeight="1" x14ac:dyDescent="0.25">
      <c r="A8" s="3" t="s">
        <v>73</v>
      </c>
      <c r="B8" s="3">
        <v>107</v>
      </c>
      <c r="C8" s="3" t="s">
        <v>74</v>
      </c>
      <c r="D8" s="3" t="s">
        <v>25</v>
      </c>
      <c r="E8" s="3" t="s">
        <v>26</v>
      </c>
      <c r="F8" s="3" t="s">
        <v>27</v>
      </c>
      <c r="G8" s="4">
        <v>45682</v>
      </c>
      <c r="H8" s="3">
        <v>27</v>
      </c>
      <c r="I8" s="3" t="s">
        <v>39</v>
      </c>
      <c r="J8" s="3" t="s">
        <v>40</v>
      </c>
      <c r="K8" s="3" t="s">
        <v>41</v>
      </c>
      <c r="L8" s="3" t="s">
        <v>31</v>
      </c>
      <c r="M8" s="4">
        <v>46039</v>
      </c>
      <c r="N8" s="6">
        <v>1</v>
      </c>
      <c r="O8" s="10">
        <v>30999</v>
      </c>
      <c r="P8" s="3">
        <v>0</v>
      </c>
      <c r="Q8" s="5">
        <v>30999</v>
      </c>
      <c r="R8" s="5">
        <v>0</v>
      </c>
      <c r="S8" s="5">
        <v>30999</v>
      </c>
      <c r="T8" s="5">
        <v>7749.75</v>
      </c>
      <c r="U8" s="6" t="s">
        <v>42</v>
      </c>
      <c r="V8" s="3" t="s">
        <v>33</v>
      </c>
      <c r="W8" s="3" t="s">
        <v>34</v>
      </c>
    </row>
    <row r="9" spans="1:23" ht="17.100000000000001" customHeight="1" x14ac:dyDescent="0.25">
      <c r="A9" s="3" t="s">
        <v>75</v>
      </c>
      <c r="B9" s="3">
        <v>108</v>
      </c>
      <c r="C9" s="3" t="s">
        <v>76</v>
      </c>
      <c r="D9" s="3" t="s">
        <v>47</v>
      </c>
      <c r="E9" s="3" t="s">
        <v>37</v>
      </c>
      <c r="F9" s="3" t="s">
        <v>27</v>
      </c>
      <c r="G9" s="4">
        <v>45685</v>
      </c>
      <c r="H9" s="3">
        <v>21</v>
      </c>
      <c r="I9" s="3" t="s">
        <v>48</v>
      </c>
      <c r="J9" s="3" t="s">
        <v>49</v>
      </c>
      <c r="K9" s="3" t="s">
        <v>50</v>
      </c>
      <c r="L9" s="3" t="s">
        <v>31</v>
      </c>
      <c r="M9" s="4">
        <v>46041</v>
      </c>
      <c r="N9" s="6">
        <v>2</v>
      </c>
      <c r="O9" s="10">
        <v>16999</v>
      </c>
      <c r="P9" s="3">
        <v>7</v>
      </c>
      <c r="Q9" s="5">
        <v>33998</v>
      </c>
      <c r="R9" s="5">
        <v>2379.86</v>
      </c>
      <c r="S9" s="5">
        <v>31618.14</v>
      </c>
      <c r="T9" s="5">
        <v>9485.4419999999991</v>
      </c>
      <c r="U9" s="6" t="s">
        <v>51</v>
      </c>
      <c r="V9" s="3" t="s">
        <v>43</v>
      </c>
      <c r="W9" s="3" t="s">
        <v>44</v>
      </c>
    </row>
    <row r="10" spans="1:23" ht="17.100000000000001" customHeight="1" x14ac:dyDescent="0.25">
      <c r="A10" s="3" t="s">
        <v>77</v>
      </c>
      <c r="B10" s="3">
        <v>109</v>
      </c>
      <c r="C10" s="3" t="s">
        <v>78</v>
      </c>
      <c r="D10" s="3" t="s">
        <v>79</v>
      </c>
      <c r="E10" s="3" t="s">
        <v>64</v>
      </c>
      <c r="F10" s="3" t="s">
        <v>27</v>
      </c>
      <c r="G10" s="4">
        <v>45690</v>
      </c>
      <c r="H10" s="3">
        <v>26</v>
      </c>
      <c r="I10" s="3" t="s">
        <v>57</v>
      </c>
      <c r="J10" s="3" t="s">
        <v>58</v>
      </c>
      <c r="K10" s="3" t="s">
        <v>59</v>
      </c>
      <c r="L10" s="3" t="s">
        <v>31</v>
      </c>
      <c r="M10" s="4">
        <v>46043</v>
      </c>
      <c r="N10" s="6">
        <v>5</v>
      </c>
      <c r="O10" s="10">
        <v>27999</v>
      </c>
      <c r="P10" s="3">
        <v>10</v>
      </c>
      <c r="Q10" s="5">
        <v>139995</v>
      </c>
      <c r="R10" s="5">
        <v>13999.5</v>
      </c>
      <c r="S10" s="5">
        <v>125995.5</v>
      </c>
      <c r="T10" s="5">
        <v>12599.55</v>
      </c>
      <c r="U10" s="6" t="s">
        <v>60</v>
      </c>
      <c r="V10" s="3" t="s">
        <v>52</v>
      </c>
      <c r="W10" s="3" t="s">
        <v>53</v>
      </c>
    </row>
    <row r="11" spans="1:23" ht="17.100000000000001" customHeight="1" x14ac:dyDescent="0.25">
      <c r="A11" s="3" t="s">
        <v>80</v>
      </c>
      <c r="B11" s="3">
        <v>110</v>
      </c>
      <c r="C11" s="3" t="s">
        <v>81</v>
      </c>
      <c r="D11" s="3" t="s">
        <v>82</v>
      </c>
      <c r="E11" s="3" t="s">
        <v>26</v>
      </c>
      <c r="F11" s="3" t="s">
        <v>38</v>
      </c>
      <c r="G11" s="4">
        <v>45693</v>
      </c>
      <c r="H11" s="3">
        <v>25</v>
      </c>
      <c r="I11" s="3" t="s">
        <v>65</v>
      </c>
      <c r="J11" s="3" t="s">
        <v>66</v>
      </c>
      <c r="K11" s="3" t="s">
        <v>41</v>
      </c>
      <c r="L11" s="3" t="s">
        <v>67</v>
      </c>
      <c r="M11" s="4">
        <v>46045</v>
      </c>
      <c r="N11" s="6">
        <v>1</v>
      </c>
      <c r="O11" s="10">
        <v>8999</v>
      </c>
      <c r="P11" s="3">
        <v>5</v>
      </c>
      <c r="Q11" s="5">
        <v>8999</v>
      </c>
      <c r="R11" s="5">
        <v>449.95</v>
      </c>
      <c r="S11" s="5">
        <v>8549.0499999999993</v>
      </c>
      <c r="T11" s="5">
        <v>1709.81</v>
      </c>
      <c r="U11" s="6" t="s">
        <v>68</v>
      </c>
      <c r="V11" s="3" t="s">
        <v>33</v>
      </c>
      <c r="W11" s="3" t="s">
        <v>61</v>
      </c>
    </row>
    <row r="12" spans="1:23" ht="17.100000000000001" customHeight="1" x14ac:dyDescent="0.25">
      <c r="A12" s="3" t="s">
        <v>83</v>
      </c>
      <c r="B12" s="3">
        <v>111</v>
      </c>
      <c r="C12" s="3" t="s">
        <v>84</v>
      </c>
      <c r="D12" s="3" t="s">
        <v>79</v>
      </c>
      <c r="E12" s="3" t="s">
        <v>37</v>
      </c>
      <c r="F12" s="3" t="s">
        <v>38</v>
      </c>
      <c r="G12" s="4">
        <v>45696</v>
      </c>
      <c r="H12" s="3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4">
        <v>46047</v>
      </c>
      <c r="N12" s="6">
        <v>1</v>
      </c>
      <c r="O12" s="10">
        <v>69999</v>
      </c>
      <c r="P12" s="3">
        <v>0</v>
      </c>
      <c r="Q12" s="5">
        <v>69999</v>
      </c>
      <c r="R12" s="5">
        <v>0</v>
      </c>
      <c r="S12" s="5">
        <v>69999</v>
      </c>
      <c r="T12" s="5">
        <v>17499.75</v>
      </c>
      <c r="U12" s="6" t="s">
        <v>32</v>
      </c>
      <c r="V12" s="3" t="s">
        <v>43</v>
      </c>
      <c r="W12" s="3" t="s">
        <v>69</v>
      </c>
    </row>
    <row r="13" spans="1:23" ht="17.100000000000001" customHeight="1" x14ac:dyDescent="0.25">
      <c r="A13" s="3" t="s">
        <v>85</v>
      </c>
      <c r="B13" s="3">
        <v>112</v>
      </c>
      <c r="C13" s="3" t="s">
        <v>86</v>
      </c>
      <c r="D13" s="3" t="s">
        <v>87</v>
      </c>
      <c r="E13" s="3" t="s">
        <v>88</v>
      </c>
      <c r="F13" s="3" t="s">
        <v>38</v>
      </c>
      <c r="G13" s="4">
        <v>45700</v>
      </c>
      <c r="H13" s="3">
        <v>28</v>
      </c>
      <c r="I13" s="3" t="s">
        <v>39</v>
      </c>
      <c r="J13" s="3" t="s">
        <v>40</v>
      </c>
      <c r="K13" s="3" t="s">
        <v>41</v>
      </c>
      <c r="L13" s="3" t="s">
        <v>31</v>
      </c>
      <c r="M13" s="4">
        <v>46049</v>
      </c>
      <c r="N13" s="6">
        <v>2</v>
      </c>
      <c r="O13" s="10">
        <v>30999</v>
      </c>
      <c r="P13" s="3">
        <v>5</v>
      </c>
      <c r="Q13" s="5">
        <v>61998</v>
      </c>
      <c r="R13" s="5">
        <v>3099.9</v>
      </c>
      <c r="S13" s="5">
        <v>58898.1</v>
      </c>
      <c r="T13" s="5">
        <v>17669.43</v>
      </c>
      <c r="U13" s="6" t="s">
        <v>42</v>
      </c>
      <c r="V13" s="3" t="s">
        <v>52</v>
      </c>
      <c r="W13" s="3" t="s">
        <v>72</v>
      </c>
    </row>
    <row r="14" spans="1:23" ht="17.100000000000001" customHeight="1" x14ac:dyDescent="0.25">
      <c r="A14" s="3" t="s">
        <v>89</v>
      </c>
      <c r="B14" s="3">
        <v>113</v>
      </c>
      <c r="C14" s="3" t="s">
        <v>90</v>
      </c>
      <c r="D14" s="3" t="s">
        <v>91</v>
      </c>
      <c r="E14" s="3" t="s">
        <v>26</v>
      </c>
      <c r="F14" s="3" t="s">
        <v>38</v>
      </c>
      <c r="G14" s="4">
        <v>45703</v>
      </c>
      <c r="H14" s="3">
        <v>20</v>
      </c>
      <c r="I14" s="3" t="s">
        <v>48</v>
      </c>
      <c r="J14" s="3" t="s">
        <v>49</v>
      </c>
      <c r="K14" s="3" t="s">
        <v>50</v>
      </c>
      <c r="L14" s="3" t="s">
        <v>31</v>
      </c>
      <c r="M14" s="4">
        <v>46051</v>
      </c>
      <c r="N14" s="6">
        <v>1</v>
      </c>
      <c r="O14" s="10">
        <v>16999</v>
      </c>
      <c r="P14" s="3">
        <v>10</v>
      </c>
      <c r="Q14" s="5">
        <v>16999</v>
      </c>
      <c r="R14" s="5">
        <v>1699.9</v>
      </c>
      <c r="S14" s="5">
        <v>15299.1</v>
      </c>
      <c r="T14" s="5">
        <v>1529.91</v>
      </c>
      <c r="U14" s="6" t="s">
        <v>51</v>
      </c>
      <c r="V14" s="3" t="s">
        <v>33</v>
      </c>
      <c r="W14" s="3" t="s">
        <v>34</v>
      </c>
    </row>
    <row r="15" spans="1:23" ht="17.100000000000001" customHeight="1" x14ac:dyDescent="0.25">
      <c r="A15" s="3" t="s">
        <v>92</v>
      </c>
      <c r="B15" s="3">
        <v>114</v>
      </c>
      <c r="C15" s="3" t="s">
        <v>93</v>
      </c>
      <c r="D15" s="3" t="s">
        <v>91</v>
      </c>
      <c r="E15" s="3" t="s">
        <v>26</v>
      </c>
      <c r="F15" s="3" t="s">
        <v>38</v>
      </c>
      <c r="G15" s="4">
        <v>45706</v>
      </c>
      <c r="H15" s="3">
        <v>22</v>
      </c>
      <c r="I15" s="3" t="s">
        <v>57</v>
      </c>
      <c r="J15" s="3" t="s">
        <v>58</v>
      </c>
      <c r="K15" s="3" t="s">
        <v>59</v>
      </c>
      <c r="L15" s="3" t="s">
        <v>31</v>
      </c>
      <c r="M15" s="4">
        <v>46053</v>
      </c>
      <c r="N15" s="6">
        <v>3</v>
      </c>
      <c r="O15" s="10">
        <v>27999</v>
      </c>
      <c r="P15" s="3">
        <v>5</v>
      </c>
      <c r="Q15" s="5">
        <v>83997</v>
      </c>
      <c r="R15" s="5">
        <v>4199.8500000000004</v>
      </c>
      <c r="S15" s="5">
        <v>79797.149999999994</v>
      </c>
      <c r="T15" s="5">
        <v>15959.43</v>
      </c>
      <c r="U15" s="6" t="s">
        <v>60</v>
      </c>
      <c r="V15" s="3" t="s">
        <v>43</v>
      </c>
      <c r="W15" s="3" t="s">
        <v>44</v>
      </c>
    </row>
    <row r="16" spans="1:23" ht="17.100000000000001" customHeight="1" x14ac:dyDescent="0.25">
      <c r="A16" s="3" t="s">
        <v>94</v>
      </c>
      <c r="B16" s="3">
        <v>115</v>
      </c>
      <c r="C16" s="3" t="s">
        <v>95</v>
      </c>
      <c r="D16" s="3" t="s">
        <v>82</v>
      </c>
      <c r="E16" s="3" t="s">
        <v>37</v>
      </c>
      <c r="F16" s="3" t="s">
        <v>27</v>
      </c>
      <c r="G16" s="4">
        <v>45708</v>
      </c>
      <c r="H16" s="3">
        <v>24</v>
      </c>
      <c r="I16" s="3" t="s">
        <v>65</v>
      </c>
      <c r="J16" s="3" t="s">
        <v>66</v>
      </c>
      <c r="K16" s="3" t="s">
        <v>41</v>
      </c>
      <c r="L16" s="3" t="s">
        <v>67</v>
      </c>
      <c r="M16" s="4">
        <v>46055</v>
      </c>
      <c r="N16" s="6">
        <v>2</v>
      </c>
      <c r="O16" s="10">
        <v>8999</v>
      </c>
      <c r="P16" s="3">
        <v>8</v>
      </c>
      <c r="Q16" s="5">
        <v>17998</v>
      </c>
      <c r="R16" s="5">
        <v>1439.84</v>
      </c>
      <c r="S16" s="5">
        <v>16558.16</v>
      </c>
      <c r="T16" s="5">
        <v>4139.54</v>
      </c>
      <c r="U16" s="6" t="s">
        <v>68</v>
      </c>
      <c r="V16" s="3" t="s">
        <v>52</v>
      </c>
      <c r="W16" s="3" t="s">
        <v>53</v>
      </c>
    </row>
    <row r="17" spans="1:23" ht="17.100000000000001" customHeight="1" x14ac:dyDescent="0.25">
      <c r="A17" s="3" t="s">
        <v>96</v>
      </c>
      <c r="B17" s="3">
        <v>116</v>
      </c>
      <c r="C17" s="3" t="s">
        <v>97</v>
      </c>
      <c r="D17" s="3" t="s">
        <v>82</v>
      </c>
      <c r="E17" s="3" t="s">
        <v>64</v>
      </c>
      <c r="F17" s="3" t="s">
        <v>27</v>
      </c>
      <c r="G17" s="4">
        <v>45710</v>
      </c>
      <c r="H17" s="3">
        <v>23</v>
      </c>
      <c r="I17" s="3" t="s">
        <v>28</v>
      </c>
      <c r="J17" s="3" t="s">
        <v>29</v>
      </c>
      <c r="K17" s="3" t="s">
        <v>30</v>
      </c>
      <c r="L17" s="3" t="s">
        <v>31</v>
      </c>
      <c r="M17" s="4">
        <v>46057</v>
      </c>
      <c r="N17" s="6">
        <v>4</v>
      </c>
      <c r="O17" s="10">
        <v>69999</v>
      </c>
      <c r="P17" s="3">
        <v>12</v>
      </c>
      <c r="Q17" s="5">
        <v>279996</v>
      </c>
      <c r="R17" s="5">
        <v>33599.519999999997</v>
      </c>
      <c r="S17" s="5">
        <v>246396.48</v>
      </c>
      <c r="T17" s="5">
        <v>73918.944000000003</v>
      </c>
      <c r="U17" s="6" t="s">
        <v>32</v>
      </c>
      <c r="V17" s="3" t="s">
        <v>33</v>
      </c>
      <c r="W17" s="3" t="s">
        <v>61</v>
      </c>
    </row>
    <row r="18" spans="1:23" ht="17.100000000000001" customHeight="1" x14ac:dyDescent="0.25">
      <c r="A18" s="3" t="s">
        <v>98</v>
      </c>
      <c r="B18" s="3">
        <v>117</v>
      </c>
      <c r="C18" s="3" t="s">
        <v>99</v>
      </c>
      <c r="D18" s="3" t="s">
        <v>47</v>
      </c>
      <c r="E18" s="3" t="s">
        <v>26</v>
      </c>
      <c r="F18" s="3" t="s">
        <v>38</v>
      </c>
      <c r="G18" s="4">
        <v>45713</v>
      </c>
      <c r="H18" s="3">
        <v>26</v>
      </c>
      <c r="I18" s="3" t="s">
        <v>39</v>
      </c>
      <c r="J18" s="3" t="s">
        <v>40</v>
      </c>
      <c r="K18" s="3" t="s">
        <v>41</v>
      </c>
      <c r="L18" s="3" t="s">
        <v>31</v>
      </c>
      <c r="M18" s="4">
        <v>46059</v>
      </c>
      <c r="N18" s="6">
        <v>1</v>
      </c>
      <c r="O18" s="10">
        <v>30999</v>
      </c>
      <c r="P18" s="3">
        <v>0</v>
      </c>
      <c r="Q18" s="5">
        <v>30999</v>
      </c>
      <c r="R18" s="5">
        <v>0</v>
      </c>
      <c r="S18" s="5">
        <v>30999</v>
      </c>
      <c r="T18" s="5">
        <v>3099.9</v>
      </c>
      <c r="U18" s="6" t="s">
        <v>42</v>
      </c>
      <c r="V18" s="3" t="s">
        <v>43</v>
      </c>
      <c r="W18" s="3" t="s">
        <v>69</v>
      </c>
    </row>
    <row r="19" spans="1:23" ht="17.100000000000001" customHeight="1" x14ac:dyDescent="0.25">
      <c r="A19" s="3" t="s">
        <v>100</v>
      </c>
      <c r="B19" s="3">
        <v>101</v>
      </c>
      <c r="C19" s="3" t="s">
        <v>24</v>
      </c>
      <c r="D19" s="3" t="s">
        <v>25</v>
      </c>
      <c r="E19" s="3" t="s">
        <v>26</v>
      </c>
      <c r="F19" s="3" t="s">
        <v>27</v>
      </c>
      <c r="G19" s="4">
        <v>45662</v>
      </c>
      <c r="H19" s="3">
        <v>25</v>
      </c>
      <c r="I19" s="3" t="s">
        <v>48</v>
      </c>
      <c r="J19" s="3" t="s">
        <v>49</v>
      </c>
      <c r="K19" s="3" t="s">
        <v>50</v>
      </c>
      <c r="L19" s="3" t="s">
        <v>31</v>
      </c>
      <c r="M19" s="4">
        <v>46061</v>
      </c>
      <c r="N19" s="6">
        <v>2</v>
      </c>
      <c r="O19" s="10">
        <v>16999</v>
      </c>
      <c r="P19" s="3">
        <v>7</v>
      </c>
      <c r="Q19" s="5">
        <v>33998</v>
      </c>
      <c r="R19" s="5">
        <v>2379.86</v>
      </c>
      <c r="S19" s="5">
        <v>31618.14</v>
      </c>
      <c r="T19" s="5">
        <v>6323.6280000000006</v>
      </c>
      <c r="U19" s="6" t="s">
        <v>51</v>
      </c>
      <c r="V19" s="3" t="s">
        <v>52</v>
      </c>
      <c r="W19" s="3" t="s">
        <v>72</v>
      </c>
    </row>
    <row r="20" spans="1:23" ht="17.100000000000001" customHeight="1" x14ac:dyDescent="0.25">
      <c r="A20" s="3" t="s">
        <v>101</v>
      </c>
      <c r="B20" s="3">
        <v>102</v>
      </c>
      <c r="C20" s="3" t="s">
        <v>36</v>
      </c>
      <c r="D20" s="3" t="s">
        <v>25</v>
      </c>
      <c r="E20" s="3" t="s">
        <v>37</v>
      </c>
      <c r="F20" s="3" t="s">
        <v>38</v>
      </c>
      <c r="G20" s="4">
        <v>45665</v>
      </c>
      <c r="H20" s="3">
        <v>24</v>
      </c>
      <c r="I20" s="3" t="s">
        <v>57</v>
      </c>
      <c r="J20" s="3" t="s">
        <v>58</v>
      </c>
      <c r="K20" s="3" t="s">
        <v>59</v>
      </c>
      <c r="L20" s="3" t="s">
        <v>31</v>
      </c>
      <c r="M20" s="4">
        <v>46063</v>
      </c>
      <c r="N20" s="6">
        <v>5</v>
      </c>
      <c r="O20" s="10">
        <v>27999</v>
      </c>
      <c r="P20" s="3">
        <v>10</v>
      </c>
      <c r="Q20" s="5">
        <v>139995</v>
      </c>
      <c r="R20" s="5">
        <v>13999.5</v>
      </c>
      <c r="S20" s="5">
        <v>125995.5</v>
      </c>
      <c r="T20" s="5">
        <v>31498.875</v>
      </c>
      <c r="U20" s="6" t="s">
        <v>60</v>
      </c>
      <c r="V20" s="3" t="s">
        <v>33</v>
      </c>
      <c r="W20" s="3" t="s">
        <v>34</v>
      </c>
    </row>
    <row r="21" spans="1:23" ht="17.100000000000001" customHeight="1" x14ac:dyDescent="0.25">
      <c r="A21" s="3" t="s">
        <v>102</v>
      </c>
      <c r="B21" s="3">
        <v>103</v>
      </c>
      <c r="C21" s="3" t="s">
        <v>46</v>
      </c>
      <c r="D21" s="3" t="s">
        <v>47</v>
      </c>
      <c r="E21" s="3" t="s">
        <v>26</v>
      </c>
      <c r="F21" s="3" t="s">
        <v>38</v>
      </c>
      <c r="G21" s="4">
        <v>45669</v>
      </c>
      <c r="H21" s="3">
        <v>23</v>
      </c>
      <c r="I21" s="3" t="s">
        <v>65</v>
      </c>
      <c r="J21" s="3" t="s">
        <v>66</v>
      </c>
      <c r="K21" s="3" t="s">
        <v>41</v>
      </c>
      <c r="L21" s="3" t="s">
        <v>67</v>
      </c>
      <c r="M21" s="4">
        <v>46065</v>
      </c>
      <c r="N21" s="6">
        <v>1</v>
      </c>
      <c r="O21" s="10">
        <v>8999</v>
      </c>
      <c r="P21" s="3">
        <v>5</v>
      </c>
      <c r="Q21" s="5">
        <v>8999</v>
      </c>
      <c r="R21" s="5">
        <v>449.95</v>
      </c>
      <c r="S21" s="5">
        <v>8549.0499999999993</v>
      </c>
      <c r="T21" s="5">
        <v>2564.7150000000001</v>
      </c>
      <c r="U21" s="6" t="s">
        <v>68</v>
      </c>
      <c r="V21" s="3" t="s">
        <v>43</v>
      </c>
      <c r="W21" s="3" t="s">
        <v>44</v>
      </c>
    </row>
    <row r="22" spans="1:23" ht="17.100000000000001" customHeight="1" x14ac:dyDescent="0.25">
      <c r="A22" s="3" t="s">
        <v>103</v>
      </c>
      <c r="B22" s="3">
        <v>104</v>
      </c>
      <c r="C22" s="3" t="s">
        <v>55</v>
      </c>
      <c r="D22" s="3" t="s">
        <v>56</v>
      </c>
      <c r="E22" s="3" t="s">
        <v>26</v>
      </c>
      <c r="F22" s="3" t="s">
        <v>38</v>
      </c>
      <c r="G22" s="4">
        <v>45672</v>
      </c>
      <c r="H22" s="3">
        <v>26</v>
      </c>
      <c r="I22" s="3" t="s">
        <v>28</v>
      </c>
      <c r="J22" s="3" t="s">
        <v>29</v>
      </c>
      <c r="K22" s="3" t="s">
        <v>30</v>
      </c>
      <c r="L22" s="3" t="s">
        <v>31</v>
      </c>
      <c r="M22" s="4">
        <v>46067</v>
      </c>
      <c r="N22" s="6">
        <v>1</v>
      </c>
      <c r="O22" s="10">
        <v>69999</v>
      </c>
      <c r="P22" s="3">
        <v>0</v>
      </c>
      <c r="Q22" s="5">
        <v>69999</v>
      </c>
      <c r="R22" s="5">
        <v>0</v>
      </c>
      <c r="S22" s="5">
        <v>69999</v>
      </c>
      <c r="T22" s="5">
        <v>6999.9000000000005</v>
      </c>
      <c r="U22" s="6" t="s">
        <v>32</v>
      </c>
      <c r="V22" s="3" t="s">
        <v>52</v>
      </c>
      <c r="W22" s="3" t="s">
        <v>53</v>
      </c>
    </row>
    <row r="23" spans="1:23" ht="17.100000000000001" customHeight="1" x14ac:dyDescent="0.25">
      <c r="A23" s="3" t="s">
        <v>104</v>
      </c>
      <c r="B23" s="3">
        <v>105</v>
      </c>
      <c r="C23" s="3" t="s">
        <v>63</v>
      </c>
      <c r="D23" s="3" t="s">
        <v>56</v>
      </c>
      <c r="E23" s="3" t="s">
        <v>64</v>
      </c>
      <c r="F23" s="3" t="s">
        <v>38</v>
      </c>
      <c r="G23" s="4">
        <v>45677</v>
      </c>
      <c r="H23" s="3">
        <v>22</v>
      </c>
      <c r="I23" s="3" t="s">
        <v>39</v>
      </c>
      <c r="J23" s="3" t="s">
        <v>40</v>
      </c>
      <c r="K23" s="3" t="s">
        <v>41</v>
      </c>
      <c r="L23" s="3" t="s">
        <v>31</v>
      </c>
      <c r="M23" s="4">
        <v>46069</v>
      </c>
      <c r="N23" s="6">
        <v>2</v>
      </c>
      <c r="O23" s="10">
        <v>30999</v>
      </c>
      <c r="P23" s="3">
        <v>5</v>
      </c>
      <c r="Q23" s="5">
        <v>61998</v>
      </c>
      <c r="R23" s="5">
        <v>3099.9</v>
      </c>
      <c r="S23" s="5">
        <v>58898.1</v>
      </c>
      <c r="T23" s="5">
        <v>11779.62</v>
      </c>
      <c r="U23" s="6" t="s">
        <v>42</v>
      </c>
      <c r="V23" s="3" t="s">
        <v>33</v>
      </c>
      <c r="W23" s="3" t="s">
        <v>61</v>
      </c>
    </row>
    <row r="24" spans="1:23" ht="17.100000000000001" customHeight="1" x14ac:dyDescent="0.25">
      <c r="A24" s="3" t="s">
        <v>105</v>
      </c>
      <c r="B24" s="3">
        <v>106</v>
      </c>
      <c r="C24" s="3" t="s">
        <v>71</v>
      </c>
      <c r="D24" s="3" t="s">
        <v>56</v>
      </c>
      <c r="E24" s="3" t="s">
        <v>26</v>
      </c>
      <c r="F24" s="3" t="s">
        <v>38</v>
      </c>
      <c r="G24" s="4">
        <v>45679</v>
      </c>
      <c r="H24" s="3">
        <v>24</v>
      </c>
      <c r="I24" s="3" t="s">
        <v>48</v>
      </c>
      <c r="J24" s="3" t="s">
        <v>49</v>
      </c>
      <c r="K24" s="3" t="s">
        <v>50</v>
      </c>
      <c r="L24" s="3" t="s">
        <v>31</v>
      </c>
      <c r="M24" s="4">
        <v>46071</v>
      </c>
      <c r="N24" s="6">
        <v>1</v>
      </c>
      <c r="O24" s="10">
        <v>16999</v>
      </c>
      <c r="P24" s="3">
        <v>10</v>
      </c>
      <c r="Q24" s="5">
        <v>16999</v>
      </c>
      <c r="R24" s="5">
        <v>1699.9</v>
      </c>
      <c r="S24" s="5">
        <v>15299.1</v>
      </c>
      <c r="T24" s="5">
        <v>3824.7750000000001</v>
      </c>
      <c r="U24" s="6" t="s">
        <v>51</v>
      </c>
      <c r="V24" s="3" t="s">
        <v>43</v>
      </c>
      <c r="W24" s="3" t="s">
        <v>69</v>
      </c>
    </row>
    <row r="25" spans="1:23" ht="17.100000000000001" customHeight="1" x14ac:dyDescent="0.25">
      <c r="A25" s="3" t="s">
        <v>106</v>
      </c>
      <c r="B25" s="3">
        <v>107</v>
      </c>
      <c r="C25" s="3" t="s">
        <v>74</v>
      </c>
      <c r="D25" s="3" t="s">
        <v>25</v>
      </c>
      <c r="E25" s="3" t="s">
        <v>26</v>
      </c>
      <c r="F25" s="3" t="s">
        <v>27</v>
      </c>
      <c r="G25" s="4">
        <v>45682</v>
      </c>
      <c r="H25" s="3">
        <v>27</v>
      </c>
      <c r="I25" s="3" t="s">
        <v>57</v>
      </c>
      <c r="J25" s="3" t="s">
        <v>58</v>
      </c>
      <c r="K25" s="3" t="s">
        <v>59</v>
      </c>
      <c r="L25" s="3" t="s">
        <v>31</v>
      </c>
      <c r="M25" s="4">
        <v>46073</v>
      </c>
      <c r="N25" s="6">
        <v>3</v>
      </c>
      <c r="O25" s="10">
        <v>27999</v>
      </c>
      <c r="P25" s="3">
        <v>5</v>
      </c>
      <c r="Q25" s="5">
        <v>83997</v>
      </c>
      <c r="R25" s="5">
        <v>4199.8500000000004</v>
      </c>
      <c r="S25" s="5">
        <v>79797.149999999994</v>
      </c>
      <c r="T25" s="5">
        <v>23939.145</v>
      </c>
      <c r="U25" s="6" t="s">
        <v>60</v>
      </c>
      <c r="V25" s="3" t="s">
        <v>52</v>
      </c>
      <c r="W25" s="3" t="s">
        <v>72</v>
      </c>
    </row>
    <row r="26" spans="1:23" ht="17.100000000000001" customHeight="1" x14ac:dyDescent="0.25">
      <c r="A26" s="3" t="s">
        <v>107</v>
      </c>
      <c r="B26" s="3">
        <v>108</v>
      </c>
      <c r="C26" s="3" t="s">
        <v>76</v>
      </c>
      <c r="D26" s="3" t="s">
        <v>47</v>
      </c>
      <c r="E26" s="3" t="s">
        <v>37</v>
      </c>
      <c r="F26" s="3" t="s">
        <v>27</v>
      </c>
      <c r="G26" s="4">
        <v>45685</v>
      </c>
      <c r="H26" s="3">
        <v>21</v>
      </c>
      <c r="I26" s="3" t="s">
        <v>65</v>
      </c>
      <c r="J26" s="3" t="s">
        <v>66</v>
      </c>
      <c r="K26" s="3" t="s">
        <v>41</v>
      </c>
      <c r="L26" s="3" t="s">
        <v>67</v>
      </c>
      <c r="M26" s="4">
        <v>46075</v>
      </c>
      <c r="N26" s="6">
        <v>2</v>
      </c>
      <c r="O26" s="10">
        <v>8999</v>
      </c>
      <c r="P26" s="3">
        <v>8</v>
      </c>
      <c r="Q26" s="5">
        <v>17998</v>
      </c>
      <c r="R26" s="5">
        <v>1439.84</v>
      </c>
      <c r="S26" s="5">
        <v>16558.16</v>
      </c>
      <c r="T26" s="5">
        <v>1655.816</v>
      </c>
      <c r="U26" s="6" t="s">
        <v>68</v>
      </c>
      <c r="V26" s="3" t="s">
        <v>33</v>
      </c>
      <c r="W26" s="3" t="s">
        <v>34</v>
      </c>
    </row>
    <row r="27" spans="1:23" ht="17.100000000000001" customHeight="1" x14ac:dyDescent="0.25">
      <c r="A27" s="3" t="s">
        <v>108</v>
      </c>
      <c r="B27" s="3">
        <v>109</v>
      </c>
      <c r="C27" s="3" t="s">
        <v>78</v>
      </c>
      <c r="D27" s="3" t="s">
        <v>79</v>
      </c>
      <c r="E27" s="3" t="s">
        <v>64</v>
      </c>
      <c r="F27" s="3" t="s">
        <v>27</v>
      </c>
      <c r="G27" s="4">
        <v>45690</v>
      </c>
      <c r="H27" s="3">
        <v>26</v>
      </c>
      <c r="I27" s="3" t="s">
        <v>28</v>
      </c>
      <c r="J27" s="3" t="s">
        <v>29</v>
      </c>
      <c r="K27" s="3" t="s">
        <v>30</v>
      </c>
      <c r="L27" s="3" t="s">
        <v>31</v>
      </c>
      <c r="M27" s="4">
        <v>46077</v>
      </c>
      <c r="N27" s="6">
        <v>4</v>
      </c>
      <c r="O27" s="10">
        <v>69999</v>
      </c>
      <c r="P27" s="3">
        <v>12</v>
      </c>
      <c r="Q27" s="5">
        <v>279996</v>
      </c>
      <c r="R27" s="5">
        <v>33599.519999999997</v>
      </c>
      <c r="S27" s="5">
        <v>246396.48</v>
      </c>
      <c r="T27" s="5">
        <v>49279.296000000002</v>
      </c>
      <c r="U27" s="6" t="s">
        <v>32</v>
      </c>
      <c r="V27" s="3" t="s">
        <v>43</v>
      </c>
      <c r="W27" s="3" t="s">
        <v>44</v>
      </c>
    </row>
    <row r="28" spans="1:23" ht="17.100000000000001" customHeight="1" x14ac:dyDescent="0.25">
      <c r="A28" s="3" t="s">
        <v>109</v>
      </c>
      <c r="B28" s="3">
        <v>110</v>
      </c>
      <c r="C28" s="3" t="s">
        <v>81</v>
      </c>
      <c r="D28" s="3" t="s">
        <v>82</v>
      </c>
      <c r="E28" s="3" t="s">
        <v>26</v>
      </c>
      <c r="F28" s="3" t="s">
        <v>38</v>
      </c>
      <c r="G28" s="4">
        <v>45693</v>
      </c>
      <c r="H28" s="3">
        <v>25</v>
      </c>
      <c r="I28" s="3" t="s">
        <v>39</v>
      </c>
      <c r="J28" s="3" t="s">
        <v>40</v>
      </c>
      <c r="K28" s="3" t="s">
        <v>41</v>
      </c>
      <c r="L28" s="3" t="s">
        <v>31</v>
      </c>
      <c r="M28" s="4">
        <v>46079</v>
      </c>
      <c r="N28" s="6">
        <v>1</v>
      </c>
      <c r="O28" s="10">
        <v>30999</v>
      </c>
      <c r="P28" s="3">
        <v>0</v>
      </c>
      <c r="Q28" s="5">
        <v>30999</v>
      </c>
      <c r="R28" s="5">
        <v>0</v>
      </c>
      <c r="S28" s="5">
        <v>30999</v>
      </c>
      <c r="T28" s="5">
        <v>7749.75</v>
      </c>
      <c r="U28" s="6" t="s">
        <v>42</v>
      </c>
      <c r="V28" s="3" t="s">
        <v>52</v>
      </c>
      <c r="W28" s="3" t="s">
        <v>53</v>
      </c>
    </row>
    <row r="29" spans="1:23" ht="17.100000000000001" customHeight="1" x14ac:dyDescent="0.25">
      <c r="A29" s="3" t="s">
        <v>110</v>
      </c>
      <c r="B29" s="3">
        <v>111</v>
      </c>
      <c r="C29" s="3" t="s">
        <v>84</v>
      </c>
      <c r="D29" s="3" t="s">
        <v>79</v>
      </c>
      <c r="E29" s="3" t="s">
        <v>37</v>
      </c>
      <c r="F29" s="3" t="s">
        <v>38</v>
      </c>
      <c r="G29" s="4">
        <v>45696</v>
      </c>
      <c r="H29" s="3">
        <v>27</v>
      </c>
      <c r="I29" s="3" t="s">
        <v>48</v>
      </c>
      <c r="J29" s="3" t="s">
        <v>49</v>
      </c>
      <c r="K29" s="3" t="s">
        <v>50</v>
      </c>
      <c r="L29" s="3" t="s">
        <v>31</v>
      </c>
      <c r="M29" s="4">
        <v>46081</v>
      </c>
      <c r="N29" s="6">
        <v>2</v>
      </c>
      <c r="O29" s="10">
        <v>16999</v>
      </c>
      <c r="P29" s="3">
        <v>7</v>
      </c>
      <c r="Q29" s="5">
        <v>33998</v>
      </c>
      <c r="R29" s="5">
        <v>2379.86</v>
      </c>
      <c r="S29" s="5">
        <v>31618.14</v>
      </c>
      <c r="T29" s="5">
        <v>9485.4419999999991</v>
      </c>
      <c r="U29" s="6" t="s">
        <v>51</v>
      </c>
      <c r="V29" s="3" t="s">
        <v>33</v>
      </c>
      <c r="W29" s="3" t="s">
        <v>61</v>
      </c>
    </row>
    <row r="30" spans="1:23" ht="17.100000000000001" customHeight="1" x14ac:dyDescent="0.25">
      <c r="A30" s="3" t="s">
        <v>111</v>
      </c>
      <c r="B30" s="3">
        <v>112</v>
      </c>
      <c r="C30" s="3" t="s">
        <v>86</v>
      </c>
      <c r="D30" s="3" t="s">
        <v>87</v>
      </c>
      <c r="E30" s="3" t="s">
        <v>88</v>
      </c>
      <c r="F30" s="3" t="s">
        <v>38</v>
      </c>
      <c r="G30" s="4">
        <v>45700</v>
      </c>
      <c r="H30" s="3">
        <v>28</v>
      </c>
      <c r="I30" s="3" t="s">
        <v>57</v>
      </c>
      <c r="J30" s="3" t="s">
        <v>58</v>
      </c>
      <c r="K30" s="3" t="s">
        <v>59</v>
      </c>
      <c r="L30" s="3" t="s">
        <v>31</v>
      </c>
      <c r="M30" s="4">
        <v>46083</v>
      </c>
      <c r="N30" s="6">
        <v>5</v>
      </c>
      <c r="O30" s="10">
        <v>27999</v>
      </c>
      <c r="P30" s="3">
        <v>10</v>
      </c>
      <c r="Q30" s="5">
        <v>139995</v>
      </c>
      <c r="R30" s="5">
        <v>13999.5</v>
      </c>
      <c r="S30" s="5">
        <v>125995.5</v>
      </c>
      <c r="T30" s="5">
        <v>12599.55</v>
      </c>
      <c r="U30" s="6" t="s">
        <v>60</v>
      </c>
      <c r="V30" s="3" t="s">
        <v>43</v>
      </c>
      <c r="W30" s="3" t="s">
        <v>69</v>
      </c>
    </row>
    <row r="31" spans="1:23" ht="17.100000000000001" customHeight="1" x14ac:dyDescent="0.25">
      <c r="A31" s="3" t="s">
        <v>112</v>
      </c>
      <c r="B31" s="3">
        <v>113</v>
      </c>
      <c r="C31" s="3" t="s">
        <v>90</v>
      </c>
      <c r="D31" s="3" t="s">
        <v>91</v>
      </c>
      <c r="E31" s="3" t="s">
        <v>26</v>
      </c>
      <c r="F31" s="3" t="s">
        <v>38</v>
      </c>
      <c r="G31" s="4">
        <v>45703</v>
      </c>
      <c r="H31" s="3">
        <v>20</v>
      </c>
      <c r="I31" s="3" t="s">
        <v>65</v>
      </c>
      <c r="J31" s="3" t="s">
        <v>66</v>
      </c>
      <c r="K31" s="3" t="s">
        <v>41</v>
      </c>
      <c r="L31" s="3" t="s">
        <v>67</v>
      </c>
      <c r="M31" s="4">
        <v>46085</v>
      </c>
      <c r="N31" s="6">
        <v>1</v>
      </c>
      <c r="O31" s="10">
        <v>8999</v>
      </c>
      <c r="P31" s="3">
        <v>5</v>
      </c>
      <c r="Q31" s="5">
        <v>8999</v>
      </c>
      <c r="R31" s="5">
        <v>449.95</v>
      </c>
      <c r="S31" s="5">
        <v>8549.0499999999993</v>
      </c>
      <c r="T31" s="5">
        <v>1709.81</v>
      </c>
      <c r="U31" s="6" t="s">
        <v>68</v>
      </c>
      <c r="V31" s="3" t="s">
        <v>52</v>
      </c>
      <c r="W31" s="3" t="s">
        <v>72</v>
      </c>
    </row>
    <row r="32" spans="1:23" ht="17.100000000000001" customHeight="1" x14ac:dyDescent="0.25">
      <c r="A32" s="3" t="s">
        <v>113</v>
      </c>
      <c r="B32" s="3">
        <v>114</v>
      </c>
      <c r="C32" s="3" t="s">
        <v>93</v>
      </c>
      <c r="D32" s="3" t="s">
        <v>91</v>
      </c>
      <c r="E32" s="3" t="s">
        <v>26</v>
      </c>
      <c r="F32" s="3" t="s">
        <v>38</v>
      </c>
      <c r="G32" s="4">
        <v>45706</v>
      </c>
      <c r="H32" s="3">
        <v>22</v>
      </c>
      <c r="I32" s="3" t="s">
        <v>28</v>
      </c>
      <c r="J32" s="3" t="s">
        <v>29</v>
      </c>
      <c r="K32" s="3" t="s">
        <v>30</v>
      </c>
      <c r="L32" s="3" t="s">
        <v>31</v>
      </c>
      <c r="M32" s="4">
        <v>46087</v>
      </c>
      <c r="N32" s="6">
        <v>1</v>
      </c>
      <c r="O32" s="10">
        <v>69999</v>
      </c>
      <c r="P32" s="3">
        <v>0</v>
      </c>
      <c r="Q32" s="5">
        <v>69999</v>
      </c>
      <c r="R32" s="5">
        <v>0</v>
      </c>
      <c r="S32" s="5">
        <v>69999</v>
      </c>
      <c r="T32" s="5">
        <v>17499.75</v>
      </c>
      <c r="U32" s="6" t="s">
        <v>32</v>
      </c>
      <c r="V32" s="3" t="s">
        <v>33</v>
      </c>
      <c r="W32" s="3" t="s">
        <v>34</v>
      </c>
    </row>
    <row r="33" spans="1:23" ht="17.100000000000001" customHeight="1" x14ac:dyDescent="0.25">
      <c r="A33" s="3" t="s">
        <v>114</v>
      </c>
      <c r="B33" s="3">
        <v>115</v>
      </c>
      <c r="C33" s="3" t="s">
        <v>95</v>
      </c>
      <c r="D33" s="3" t="s">
        <v>82</v>
      </c>
      <c r="E33" s="3" t="s">
        <v>37</v>
      </c>
      <c r="F33" s="3" t="s">
        <v>27</v>
      </c>
      <c r="G33" s="4">
        <v>45708</v>
      </c>
      <c r="H33" s="3">
        <v>24</v>
      </c>
      <c r="I33" s="3" t="s">
        <v>39</v>
      </c>
      <c r="J33" s="3" t="s">
        <v>40</v>
      </c>
      <c r="K33" s="3" t="s">
        <v>41</v>
      </c>
      <c r="L33" s="3" t="s">
        <v>31</v>
      </c>
      <c r="M33" s="4">
        <v>46089</v>
      </c>
      <c r="N33" s="6">
        <v>2</v>
      </c>
      <c r="O33" s="10">
        <v>30999</v>
      </c>
      <c r="P33" s="3">
        <v>5</v>
      </c>
      <c r="Q33" s="5">
        <v>61998</v>
      </c>
      <c r="R33" s="5">
        <v>3099.9</v>
      </c>
      <c r="S33" s="5">
        <v>58898.1</v>
      </c>
      <c r="T33" s="5">
        <v>17669.43</v>
      </c>
      <c r="U33" s="6" t="s">
        <v>42</v>
      </c>
      <c r="V33" s="3" t="s">
        <v>43</v>
      </c>
      <c r="W33" s="3" t="s">
        <v>44</v>
      </c>
    </row>
    <row r="34" spans="1:23" ht="17.100000000000001" customHeight="1" x14ac:dyDescent="0.25">
      <c r="A34" s="3" t="s">
        <v>115</v>
      </c>
      <c r="B34" s="3">
        <v>116</v>
      </c>
      <c r="C34" s="3" t="s">
        <v>97</v>
      </c>
      <c r="D34" s="3" t="s">
        <v>82</v>
      </c>
      <c r="E34" s="3" t="s">
        <v>64</v>
      </c>
      <c r="F34" s="3" t="s">
        <v>27</v>
      </c>
      <c r="G34" s="4">
        <v>45710</v>
      </c>
      <c r="H34" s="3">
        <v>23</v>
      </c>
      <c r="I34" s="3" t="s">
        <v>48</v>
      </c>
      <c r="J34" s="3" t="s">
        <v>49</v>
      </c>
      <c r="K34" s="3" t="s">
        <v>50</v>
      </c>
      <c r="L34" s="3" t="s">
        <v>31</v>
      </c>
      <c r="M34" s="4">
        <v>46091</v>
      </c>
      <c r="N34" s="6">
        <v>1</v>
      </c>
      <c r="O34" s="10">
        <v>16999</v>
      </c>
      <c r="P34" s="3">
        <v>10</v>
      </c>
      <c r="Q34" s="5">
        <v>16999</v>
      </c>
      <c r="R34" s="5">
        <v>1699.9</v>
      </c>
      <c r="S34" s="5">
        <v>15299.1</v>
      </c>
      <c r="T34" s="5">
        <v>1529.91</v>
      </c>
      <c r="U34" s="6" t="s">
        <v>51</v>
      </c>
      <c r="V34" s="3" t="s">
        <v>52</v>
      </c>
      <c r="W34" s="3" t="s">
        <v>53</v>
      </c>
    </row>
    <row r="35" spans="1:23" ht="17.100000000000001" customHeight="1" x14ac:dyDescent="0.25">
      <c r="A35" s="3" t="s">
        <v>116</v>
      </c>
      <c r="B35" s="3">
        <v>117</v>
      </c>
      <c r="C35" s="3" t="s">
        <v>99</v>
      </c>
      <c r="D35" s="3" t="s">
        <v>47</v>
      </c>
      <c r="E35" s="3" t="s">
        <v>26</v>
      </c>
      <c r="F35" s="3" t="s">
        <v>38</v>
      </c>
      <c r="G35" s="4">
        <v>45713</v>
      </c>
      <c r="H35" s="3">
        <v>26</v>
      </c>
      <c r="I35" s="3" t="s">
        <v>57</v>
      </c>
      <c r="J35" s="3" t="s">
        <v>58</v>
      </c>
      <c r="K35" s="3" t="s">
        <v>59</v>
      </c>
      <c r="L35" s="3" t="s">
        <v>31</v>
      </c>
      <c r="M35" s="4">
        <v>46093</v>
      </c>
      <c r="N35" s="6">
        <v>3</v>
      </c>
      <c r="O35" s="10">
        <v>27999</v>
      </c>
      <c r="P35" s="3">
        <v>5</v>
      </c>
      <c r="Q35" s="5">
        <v>83997</v>
      </c>
      <c r="R35" s="5">
        <v>4199.8500000000004</v>
      </c>
      <c r="S35" s="5">
        <v>79797.149999999994</v>
      </c>
      <c r="T35" s="5">
        <v>15959.43</v>
      </c>
      <c r="U35" s="6" t="s">
        <v>60</v>
      </c>
      <c r="V35" s="3" t="s">
        <v>33</v>
      </c>
      <c r="W35" s="3" t="s">
        <v>61</v>
      </c>
    </row>
    <row r="36" spans="1:23" ht="17.100000000000001" customHeight="1" x14ac:dyDescent="0.25">
      <c r="A36" s="3" t="s">
        <v>117</v>
      </c>
      <c r="B36" s="3">
        <v>101</v>
      </c>
      <c r="C36" s="3" t="s">
        <v>24</v>
      </c>
      <c r="D36" s="3" t="s">
        <v>25</v>
      </c>
      <c r="E36" s="3" t="s">
        <v>26</v>
      </c>
      <c r="F36" s="3" t="s">
        <v>27</v>
      </c>
      <c r="G36" s="4">
        <v>45662</v>
      </c>
      <c r="H36" s="3">
        <v>25</v>
      </c>
      <c r="I36" s="3" t="s">
        <v>65</v>
      </c>
      <c r="J36" s="3" t="s">
        <v>66</v>
      </c>
      <c r="K36" s="3" t="s">
        <v>41</v>
      </c>
      <c r="L36" s="3" t="s">
        <v>67</v>
      </c>
      <c r="M36" s="4">
        <v>46095</v>
      </c>
      <c r="N36" s="6">
        <v>2</v>
      </c>
      <c r="O36" s="10">
        <v>8999</v>
      </c>
      <c r="P36" s="3">
        <v>8</v>
      </c>
      <c r="Q36" s="5">
        <v>17998</v>
      </c>
      <c r="R36" s="5">
        <v>1439.84</v>
      </c>
      <c r="S36" s="5">
        <v>16558.16</v>
      </c>
      <c r="T36" s="5">
        <v>4139.54</v>
      </c>
      <c r="U36" s="6" t="s">
        <v>68</v>
      </c>
      <c r="V36" s="3" t="s">
        <v>43</v>
      </c>
      <c r="W36" s="3" t="s">
        <v>69</v>
      </c>
    </row>
    <row r="37" spans="1:23" ht="17.100000000000001" customHeight="1" x14ac:dyDescent="0.25">
      <c r="A37" s="3" t="s">
        <v>118</v>
      </c>
      <c r="B37" s="3">
        <v>102</v>
      </c>
      <c r="C37" s="3" t="s">
        <v>36</v>
      </c>
      <c r="D37" s="3" t="s">
        <v>25</v>
      </c>
      <c r="E37" s="3" t="s">
        <v>37</v>
      </c>
      <c r="F37" s="3" t="s">
        <v>38</v>
      </c>
      <c r="G37" s="4">
        <v>45665</v>
      </c>
      <c r="H37" s="3">
        <v>24</v>
      </c>
      <c r="I37" s="3" t="s">
        <v>28</v>
      </c>
      <c r="J37" s="3" t="s">
        <v>29</v>
      </c>
      <c r="K37" s="3" t="s">
        <v>30</v>
      </c>
      <c r="L37" s="3" t="s">
        <v>31</v>
      </c>
      <c r="M37" s="4">
        <v>46097</v>
      </c>
      <c r="N37" s="6">
        <v>4</v>
      </c>
      <c r="O37" s="10">
        <v>69999</v>
      </c>
      <c r="P37" s="3">
        <v>12</v>
      </c>
      <c r="Q37" s="5">
        <v>279996</v>
      </c>
      <c r="R37" s="5">
        <v>33599.519999999997</v>
      </c>
      <c r="S37" s="5">
        <v>246396.48</v>
      </c>
      <c r="T37" s="5">
        <v>73918.944000000003</v>
      </c>
      <c r="U37" s="6" t="s">
        <v>32</v>
      </c>
      <c r="V37" s="3" t="s">
        <v>52</v>
      </c>
      <c r="W37" s="3" t="s">
        <v>72</v>
      </c>
    </row>
    <row r="38" spans="1:23" ht="17.100000000000001" customHeight="1" x14ac:dyDescent="0.25">
      <c r="A38" s="3" t="s">
        <v>119</v>
      </c>
      <c r="B38" s="3">
        <v>103</v>
      </c>
      <c r="C38" s="3" t="s">
        <v>46</v>
      </c>
      <c r="D38" s="3" t="s">
        <v>47</v>
      </c>
      <c r="E38" s="3" t="s">
        <v>26</v>
      </c>
      <c r="F38" s="3" t="s">
        <v>38</v>
      </c>
      <c r="G38" s="4">
        <v>45669</v>
      </c>
      <c r="H38" s="3">
        <v>23</v>
      </c>
      <c r="I38" s="3" t="s">
        <v>39</v>
      </c>
      <c r="J38" s="3" t="s">
        <v>40</v>
      </c>
      <c r="K38" s="3" t="s">
        <v>41</v>
      </c>
      <c r="L38" s="3" t="s">
        <v>31</v>
      </c>
      <c r="M38" s="4">
        <v>46099</v>
      </c>
      <c r="N38" s="6">
        <v>1</v>
      </c>
      <c r="O38" s="10">
        <v>30999</v>
      </c>
      <c r="P38" s="3">
        <v>0</v>
      </c>
      <c r="Q38" s="5">
        <v>30999</v>
      </c>
      <c r="R38" s="5">
        <v>0</v>
      </c>
      <c r="S38" s="5">
        <v>30999</v>
      </c>
      <c r="T38" s="5">
        <v>3099.9</v>
      </c>
      <c r="U38" s="6" t="s">
        <v>42</v>
      </c>
      <c r="V38" s="3" t="s">
        <v>33</v>
      </c>
      <c r="W38" s="3" t="s">
        <v>34</v>
      </c>
    </row>
    <row r="39" spans="1:23" ht="17.100000000000001" customHeight="1" x14ac:dyDescent="0.25">
      <c r="A39" s="3" t="s">
        <v>120</v>
      </c>
      <c r="B39" s="3">
        <v>104</v>
      </c>
      <c r="C39" s="3" t="s">
        <v>55</v>
      </c>
      <c r="D39" s="3" t="s">
        <v>56</v>
      </c>
      <c r="E39" s="3" t="s">
        <v>26</v>
      </c>
      <c r="F39" s="3" t="s">
        <v>38</v>
      </c>
      <c r="G39" s="4">
        <v>45672</v>
      </c>
      <c r="H39" s="3">
        <v>26</v>
      </c>
      <c r="I39" s="3" t="s">
        <v>48</v>
      </c>
      <c r="J39" s="3" t="s">
        <v>49</v>
      </c>
      <c r="K39" s="3" t="s">
        <v>50</v>
      </c>
      <c r="L39" s="3" t="s">
        <v>31</v>
      </c>
      <c r="M39" s="4">
        <v>46101</v>
      </c>
      <c r="N39" s="6">
        <v>2</v>
      </c>
      <c r="O39" s="10">
        <v>16999</v>
      </c>
      <c r="P39" s="3">
        <v>7</v>
      </c>
      <c r="Q39" s="5">
        <v>33998</v>
      </c>
      <c r="R39" s="5">
        <v>2379.86</v>
      </c>
      <c r="S39" s="5">
        <v>31618.14</v>
      </c>
      <c r="T39" s="5">
        <v>6323.6280000000006</v>
      </c>
      <c r="U39" s="6" t="s">
        <v>51</v>
      </c>
      <c r="V39" s="3" t="s">
        <v>43</v>
      </c>
      <c r="W39" s="3" t="s">
        <v>44</v>
      </c>
    </row>
    <row r="40" spans="1:23" ht="17.100000000000001" customHeight="1" x14ac:dyDescent="0.25">
      <c r="A40" s="3" t="s">
        <v>121</v>
      </c>
      <c r="B40" s="3">
        <v>105</v>
      </c>
      <c r="C40" s="3" t="s">
        <v>63</v>
      </c>
      <c r="D40" s="3" t="s">
        <v>56</v>
      </c>
      <c r="E40" s="3" t="s">
        <v>64</v>
      </c>
      <c r="F40" s="3" t="s">
        <v>38</v>
      </c>
      <c r="G40" s="4">
        <v>45677</v>
      </c>
      <c r="H40" s="3">
        <v>22</v>
      </c>
      <c r="I40" s="3" t="s">
        <v>57</v>
      </c>
      <c r="J40" s="3" t="s">
        <v>58</v>
      </c>
      <c r="K40" s="3" t="s">
        <v>59</v>
      </c>
      <c r="L40" s="3" t="s">
        <v>31</v>
      </c>
      <c r="M40" s="4">
        <v>46103</v>
      </c>
      <c r="N40" s="6">
        <v>5</v>
      </c>
      <c r="O40" s="10">
        <v>27999</v>
      </c>
      <c r="P40" s="3">
        <v>10</v>
      </c>
      <c r="Q40" s="5">
        <v>139995</v>
      </c>
      <c r="R40" s="5">
        <v>13999.5</v>
      </c>
      <c r="S40" s="5">
        <v>125995.5</v>
      </c>
      <c r="T40" s="5">
        <v>31498.875</v>
      </c>
      <c r="U40" s="6" t="s">
        <v>60</v>
      </c>
      <c r="V40" s="3" t="s">
        <v>52</v>
      </c>
      <c r="W40" s="3" t="s">
        <v>53</v>
      </c>
    </row>
    <row r="41" spans="1:23" ht="17.100000000000001" customHeight="1" x14ac:dyDescent="0.25">
      <c r="A41" s="3" t="s">
        <v>122</v>
      </c>
      <c r="B41" s="3">
        <v>106</v>
      </c>
      <c r="C41" s="3" t="s">
        <v>71</v>
      </c>
      <c r="D41" s="3" t="s">
        <v>56</v>
      </c>
      <c r="E41" s="3" t="s">
        <v>26</v>
      </c>
      <c r="F41" s="3" t="s">
        <v>38</v>
      </c>
      <c r="G41" s="4">
        <v>45679</v>
      </c>
      <c r="H41" s="3">
        <v>24</v>
      </c>
      <c r="I41" s="3" t="s">
        <v>65</v>
      </c>
      <c r="J41" s="3" t="s">
        <v>66</v>
      </c>
      <c r="K41" s="3" t="s">
        <v>41</v>
      </c>
      <c r="L41" s="3" t="s">
        <v>67</v>
      </c>
      <c r="M41" s="4">
        <v>46105</v>
      </c>
      <c r="N41" s="6">
        <v>1</v>
      </c>
      <c r="O41" s="10">
        <v>8999</v>
      </c>
      <c r="P41" s="3">
        <v>5</v>
      </c>
      <c r="Q41" s="5">
        <v>8999</v>
      </c>
      <c r="R41" s="5">
        <v>449.95</v>
      </c>
      <c r="S41" s="5">
        <v>8549.0499999999993</v>
      </c>
      <c r="T41" s="5">
        <v>2564.7150000000001</v>
      </c>
      <c r="U41" s="6" t="s">
        <v>68</v>
      </c>
      <c r="V41" s="3" t="s">
        <v>33</v>
      </c>
      <c r="W41" s="3" t="s">
        <v>61</v>
      </c>
    </row>
    <row r="42" spans="1:23" ht="17.100000000000001" customHeight="1" x14ac:dyDescent="0.25">
      <c r="A42" s="3" t="s">
        <v>123</v>
      </c>
      <c r="B42" s="3">
        <v>107</v>
      </c>
      <c r="C42" s="3" t="s">
        <v>74</v>
      </c>
      <c r="D42" s="3" t="s">
        <v>25</v>
      </c>
      <c r="E42" s="3" t="s">
        <v>26</v>
      </c>
      <c r="F42" s="3" t="s">
        <v>27</v>
      </c>
      <c r="G42" s="4">
        <v>45682</v>
      </c>
      <c r="H42" s="3">
        <v>27</v>
      </c>
      <c r="I42" s="3" t="s">
        <v>28</v>
      </c>
      <c r="J42" s="3" t="s">
        <v>29</v>
      </c>
      <c r="K42" s="3" t="s">
        <v>30</v>
      </c>
      <c r="L42" s="3" t="s">
        <v>31</v>
      </c>
      <c r="M42" s="4">
        <v>46107</v>
      </c>
      <c r="N42" s="6">
        <v>1</v>
      </c>
      <c r="O42" s="10">
        <v>69999</v>
      </c>
      <c r="P42" s="3">
        <v>0</v>
      </c>
      <c r="Q42" s="5">
        <v>69999</v>
      </c>
      <c r="R42" s="5">
        <v>0</v>
      </c>
      <c r="S42" s="5">
        <v>69999</v>
      </c>
      <c r="T42" s="5">
        <v>6999.9000000000005</v>
      </c>
      <c r="U42" s="6" t="s">
        <v>32</v>
      </c>
      <c r="V42" s="3" t="s">
        <v>43</v>
      </c>
      <c r="W42" s="3" t="s">
        <v>69</v>
      </c>
    </row>
    <row r="43" spans="1:23" ht="17.100000000000001" customHeight="1" x14ac:dyDescent="0.25">
      <c r="A43" s="3" t="s">
        <v>124</v>
      </c>
      <c r="B43" s="3">
        <v>108</v>
      </c>
      <c r="C43" s="3" t="s">
        <v>76</v>
      </c>
      <c r="D43" s="3" t="s">
        <v>47</v>
      </c>
      <c r="E43" s="3" t="s">
        <v>37</v>
      </c>
      <c r="F43" s="3" t="s">
        <v>27</v>
      </c>
      <c r="G43" s="4">
        <v>45685</v>
      </c>
      <c r="H43" s="3">
        <v>21</v>
      </c>
      <c r="I43" s="3" t="s">
        <v>39</v>
      </c>
      <c r="J43" s="3" t="s">
        <v>40</v>
      </c>
      <c r="K43" s="3" t="s">
        <v>41</v>
      </c>
      <c r="L43" s="3" t="s">
        <v>31</v>
      </c>
      <c r="M43" s="4">
        <v>46109</v>
      </c>
      <c r="N43" s="6">
        <v>2</v>
      </c>
      <c r="O43" s="10">
        <v>30999</v>
      </c>
      <c r="P43" s="3">
        <v>5</v>
      </c>
      <c r="Q43" s="5">
        <v>61998</v>
      </c>
      <c r="R43" s="5">
        <v>3099.9</v>
      </c>
      <c r="S43" s="5">
        <v>58898.1</v>
      </c>
      <c r="T43" s="5">
        <v>11779.62</v>
      </c>
      <c r="U43" s="6" t="s">
        <v>42</v>
      </c>
      <c r="V43" s="3" t="s">
        <v>52</v>
      </c>
      <c r="W43" s="3" t="s">
        <v>72</v>
      </c>
    </row>
    <row r="44" spans="1:23" ht="17.100000000000001" customHeight="1" x14ac:dyDescent="0.25">
      <c r="A44" s="3" t="s">
        <v>125</v>
      </c>
      <c r="B44" s="3">
        <v>109</v>
      </c>
      <c r="C44" s="3" t="s">
        <v>78</v>
      </c>
      <c r="D44" s="3" t="s">
        <v>79</v>
      </c>
      <c r="E44" s="3" t="s">
        <v>64</v>
      </c>
      <c r="F44" s="3" t="s">
        <v>27</v>
      </c>
      <c r="G44" s="4">
        <v>45690</v>
      </c>
      <c r="H44" s="3">
        <v>26</v>
      </c>
      <c r="I44" s="3" t="s">
        <v>48</v>
      </c>
      <c r="J44" s="3" t="s">
        <v>49</v>
      </c>
      <c r="K44" s="3" t="s">
        <v>50</v>
      </c>
      <c r="L44" s="3" t="s">
        <v>31</v>
      </c>
      <c r="M44" s="4">
        <v>46111</v>
      </c>
      <c r="N44" s="6">
        <v>1</v>
      </c>
      <c r="O44" s="10">
        <v>16999</v>
      </c>
      <c r="P44" s="3">
        <v>10</v>
      </c>
      <c r="Q44" s="5">
        <v>16999</v>
      </c>
      <c r="R44" s="5">
        <v>1699.9</v>
      </c>
      <c r="S44" s="5">
        <v>15299.1</v>
      </c>
      <c r="T44" s="5">
        <v>3824.7750000000001</v>
      </c>
      <c r="U44" s="6" t="s">
        <v>51</v>
      </c>
      <c r="V44" s="3" t="s">
        <v>33</v>
      </c>
      <c r="W44" s="3" t="s">
        <v>34</v>
      </c>
    </row>
    <row r="45" spans="1:23" ht="17.100000000000001" customHeight="1" x14ac:dyDescent="0.25">
      <c r="A45" s="3" t="s">
        <v>126</v>
      </c>
      <c r="B45" s="3">
        <v>110</v>
      </c>
      <c r="C45" s="3" t="s">
        <v>81</v>
      </c>
      <c r="D45" s="3" t="s">
        <v>82</v>
      </c>
      <c r="E45" s="3" t="s">
        <v>26</v>
      </c>
      <c r="F45" s="3" t="s">
        <v>38</v>
      </c>
      <c r="G45" s="4">
        <v>45693</v>
      </c>
      <c r="H45" s="3">
        <v>25</v>
      </c>
      <c r="I45" s="3" t="s">
        <v>57</v>
      </c>
      <c r="J45" s="3" t="s">
        <v>58</v>
      </c>
      <c r="K45" s="3" t="s">
        <v>59</v>
      </c>
      <c r="L45" s="3" t="s">
        <v>31</v>
      </c>
      <c r="M45" s="4">
        <v>46113</v>
      </c>
      <c r="N45" s="6">
        <v>3</v>
      </c>
      <c r="O45" s="10">
        <v>27999</v>
      </c>
      <c r="P45" s="3">
        <v>5</v>
      </c>
      <c r="Q45" s="5">
        <v>83997</v>
      </c>
      <c r="R45" s="5">
        <v>4199.8500000000004</v>
      </c>
      <c r="S45" s="5">
        <v>79797.149999999994</v>
      </c>
      <c r="T45" s="5">
        <v>23939.145</v>
      </c>
      <c r="U45" s="6" t="s">
        <v>60</v>
      </c>
      <c r="V45" s="3" t="s">
        <v>43</v>
      </c>
      <c r="W45" s="3" t="s">
        <v>44</v>
      </c>
    </row>
    <row r="46" spans="1:23" ht="17.100000000000001" customHeight="1" x14ac:dyDescent="0.25">
      <c r="A46" s="3" t="s">
        <v>127</v>
      </c>
      <c r="B46" s="3">
        <v>111</v>
      </c>
      <c r="C46" s="3" t="s">
        <v>84</v>
      </c>
      <c r="D46" s="3" t="s">
        <v>79</v>
      </c>
      <c r="E46" s="3" t="s">
        <v>37</v>
      </c>
      <c r="F46" s="3" t="s">
        <v>38</v>
      </c>
      <c r="G46" s="4">
        <v>45696</v>
      </c>
      <c r="H46" s="3">
        <v>27</v>
      </c>
      <c r="I46" s="3" t="s">
        <v>65</v>
      </c>
      <c r="J46" s="3" t="s">
        <v>66</v>
      </c>
      <c r="K46" s="3" t="s">
        <v>41</v>
      </c>
      <c r="L46" s="3" t="s">
        <v>67</v>
      </c>
      <c r="M46" s="4">
        <v>46115</v>
      </c>
      <c r="N46" s="6">
        <v>2</v>
      </c>
      <c r="O46" s="10">
        <v>8999</v>
      </c>
      <c r="P46" s="3">
        <v>8</v>
      </c>
      <c r="Q46" s="5">
        <v>17998</v>
      </c>
      <c r="R46" s="5">
        <v>1439.84</v>
      </c>
      <c r="S46" s="5">
        <v>16558.16</v>
      </c>
      <c r="T46" s="5">
        <v>1655.816</v>
      </c>
      <c r="U46" s="6" t="s">
        <v>68</v>
      </c>
      <c r="V46" s="3" t="s">
        <v>52</v>
      </c>
      <c r="W46" s="3" t="s">
        <v>53</v>
      </c>
    </row>
    <row r="47" spans="1:23" ht="17.100000000000001" customHeight="1" x14ac:dyDescent="0.25">
      <c r="A47" s="3" t="s">
        <v>128</v>
      </c>
      <c r="B47" s="3">
        <v>112</v>
      </c>
      <c r="C47" s="3" t="s">
        <v>86</v>
      </c>
      <c r="D47" s="3" t="s">
        <v>87</v>
      </c>
      <c r="E47" s="3" t="s">
        <v>88</v>
      </c>
      <c r="F47" s="3" t="s">
        <v>38</v>
      </c>
      <c r="G47" s="4">
        <v>45700</v>
      </c>
      <c r="H47" s="3">
        <v>28</v>
      </c>
      <c r="I47" s="3" t="s">
        <v>28</v>
      </c>
      <c r="J47" s="3" t="s">
        <v>29</v>
      </c>
      <c r="K47" s="3" t="s">
        <v>30</v>
      </c>
      <c r="L47" s="3" t="s">
        <v>31</v>
      </c>
      <c r="M47" s="4">
        <v>46117</v>
      </c>
      <c r="N47" s="6">
        <v>4</v>
      </c>
      <c r="O47" s="10">
        <v>69999</v>
      </c>
      <c r="P47" s="3">
        <v>12</v>
      </c>
      <c r="Q47" s="5">
        <v>279996</v>
      </c>
      <c r="R47" s="5">
        <v>33599.519999999997</v>
      </c>
      <c r="S47" s="5">
        <v>246396.48</v>
      </c>
      <c r="T47" s="5">
        <v>49279.296000000002</v>
      </c>
      <c r="U47" s="6" t="s">
        <v>32</v>
      </c>
      <c r="V47" s="3" t="s">
        <v>33</v>
      </c>
      <c r="W47" s="3" t="s">
        <v>61</v>
      </c>
    </row>
    <row r="48" spans="1:23" ht="17.100000000000001" customHeight="1" x14ac:dyDescent="0.25">
      <c r="A48" s="3" t="s">
        <v>129</v>
      </c>
      <c r="B48" s="3">
        <v>113</v>
      </c>
      <c r="C48" s="3" t="s">
        <v>90</v>
      </c>
      <c r="D48" s="3" t="s">
        <v>91</v>
      </c>
      <c r="E48" s="3" t="s">
        <v>26</v>
      </c>
      <c r="F48" s="3" t="s">
        <v>38</v>
      </c>
      <c r="G48" s="4">
        <v>45703</v>
      </c>
      <c r="H48" s="3">
        <v>20</v>
      </c>
      <c r="I48" s="3" t="s">
        <v>39</v>
      </c>
      <c r="J48" s="3" t="s">
        <v>40</v>
      </c>
      <c r="K48" s="3" t="s">
        <v>41</v>
      </c>
      <c r="L48" s="3" t="s">
        <v>31</v>
      </c>
      <c r="M48" s="4">
        <v>46119</v>
      </c>
      <c r="N48" s="6">
        <v>1</v>
      </c>
      <c r="O48" s="10">
        <v>30999</v>
      </c>
      <c r="P48" s="3">
        <v>0</v>
      </c>
      <c r="Q48" s="5">
        <v>30999</v>
      </c>
      <c r="R48" s="5">
        <v>0</v>
      </c>
      <c r="S48" s="5">
        <v>30999</v>
      </c>
      <c r="T48" s="5">
        <v>7749.75</v>
      </c>
      <c r="U48" s="6" t="s">
        <v>42</v>
      </c>
      <c r="V48" s="3" t="s">
        <v>43</v>
      </c>
      <c r="W48" s="3" t="s">
        <v>69</v>
      </c>
    </row>
    <row r="49" spans="1:23" ht="17.100000000000001" customHeight="1" x14ac:dyDescent="0.25">
      <c r="A49" s="3" t="s">
        <v>130</v>
      </c>
      <c r="B49" s="3">
        <v>114</v>
      </c>
      <c r="C49" s="3" t="s">
        <v>93</v>
      </c>
      <c r="D49" s="3" t="s">
        <v>91</v>
      </c>
      <c r="E49" s="3" t="s">
        <v>26</v>
      </c>
      <c r="F49" s="3" t="s">
        <v>38</v>
      </c>
      <c r="G49" s="4">
        <v>45706</v>
      </c>
      <c r="H49" s="3">
        <v>22</v>
      </c>
      <c r="I49" s="3" t="s">
        <v>48</v>
      </c>
      <c r="J49" s="3" t="s">
        <v>49</v>
      </c>
      <c r="K49" s="3" t="s">
        <v>50</v>
      </c>
      <c r="L49" s="3" t="s">
        <v>31</v>
      </c>
      <c r="M49" s="4">
        <v>46121</v>
      </c>
      <c r="N49" s="6">
        <v>2</v>
      </c>
      <c r="O49" s="10">
        <v>16999</v>
      </c>
      <c r="P49" s="3">
        <v>7</v>
      </c>
      <c r="Q49" s="5">
        <v>33998</v>
      </c>
      <c r="R49" s="5">
        <v>2379.86</v>
      </c>
      <c r="S49" s="5">
        <v>31618.14</v>
      </c>
      <c r="T49" s="5">
        <v>9485.4419999999991</v>
      </c>
      <c r="U49" s="6" t="s">
        <v>51</v>
      </c>
      <c r="V49" s="3" t="s">
        <v>52</v>
      </c>
      <c r="W49" s="3" t="s">
        <v>72</v>
      </c>
    </row>
    <row r="50" spans="1:23" ht="17.100000000000001" customHeight="1" x14ac:dyDescent="0.25">
      <c r="A50" s="3" t="s">
        <v>131</v>
      </c>
      <c r="B50" s="3">
        <v>115</v>
      </c>
      <c r="C50" s="3" t="s">
        <v>95</v>
      </c>
      <c r="D50" s="3" t="s">
        <v>82</v>
      </c>
      <c r="E50" s="3" t="s">
        <v>37</v>
      </c>
      <c r="F50" s="3" t="s">
        <v>27</v>
      </c>
      <c r="G50" s="4">
        <v>45708</v>
      </c>
      <c r="H50" s="3">
        <v>24</v>
      </c>
      <c r="I50" s="3" t="s">
        <v>57</v>
      </c>
      <c r="J50" s="3" t="s">
        <v>58</v>
      </c>
      <c r="K50" s="3" t="s">
        <v>59</v>
      </c>
      <c r="L50" s="3" t="s">
        <v>31</v>
      </c>
      <c r="M50" s="4">
        <v>46123</v>
      </c>
      <c r="N50" s="6">
        <v>5</v>
      </c>
      <c r="O50" s="10">
        <v>27999</v>
      </c>
      <c r="P50" s="3">
        <v>10</v>
      </c>
      <c r="Q50" s="5">
        <v>139995</v>
      </c>
      <c r="R50" s="5">
        <v>13999.5</v>
      </c>
      <c r="S50" s="5">
        <v>125995.5</v>
      </c>
      <c r="T50" s="5">
        <v>12599.55</v>
      </c>
      <c r="U50" s="6" t="s">
        <v>60</v>
      </c>
      <c r="V50" s="3" t="s">
        <v>33</v>
      </c>
      <c r="W50" s="3" t="s">
        <v>34</v>
      </c>
    </row>
    <row r="51" spans="1:23" ht="17.100000000000001" customHeight="1" x14ac:dyDescent="0.25">
      <c r="A51" s="3" t="s">
        <v>132</v>
      </c>
      <c r="B51" s="3">
        <v>116</v>
      </c>
      <c r="C51" s="3" t="s">
        <v>97</v>
      </c>
      <c r="D51" s="3" t="s">
        <v>82</v>
      </c>
      <c r="E51" s="3" t="s">
        <v>64</v>
      </c>
      <c r="F51" s="3" t="s">
        <v>27</v>
      </c>
      <c r="G51" s="4">
        <v>45710</v>
      </c>
      <c r="H51" s="3">
        <v>23</v>
      </c>
      <c r="I51" s="3" t="s">
        <v>65</v>
      </c>
      <c r="J51" s="3" t="s">
        <v>66</v>
      </c>
      <c r="K51" s="3" t="s">
        <v>41</v>
      </c>
      <c r="L51" s="3" t="s">
        <v>67</v>
      </c>
      <c r="M51" s="4">
        <v>46125</v>
      </c>
      <c r="N51" s="26">
        <v>1</v>
      </c>
      <c r="O51" s="10">
        <v>8999</v>
      </c>
      <c r="P51" s="25">
        <v>5</v>
      </c>
      <c r="Q51" s="5">
        <v>8999</v>
      </c>
      <c r="R51" s="5">
        <v>449.95</v>
      </c>
      <c r="S51" s="5">
        <v>8549.0499999999993</v>
      </c>
      <c r="T51" s="5">
        <v>1709.81</v>
      </c>
      <c r="U51" s="6" t="s">
        <v>68</v>
      </c>
      <c r="V51" s="3" t="s">
        <v>43</v>
      </c>
      <c r="W51" s="3" t="s">
        <v>44</v>
      </c>
    </row>
    <row r="52" spans="1:23" x14ac:dyDescent="0.25">
      <c r="N52" s="7" t="s">
        <v>176</v>
      </c>
      <c r="O52" s="7" t="s">
        <v>175</v>
      </c>
      <c r="U52" s="7" t="s">
        <v>174</v>
      </c>
    </row>
  </sheetData>
  <dataValidations count="4">
    <dataValidation type="list" allowBlank="1" showInputMessage="1" showErrorMessage="1" sqref="U2:U51" xr:uid="{30E7E797-3B01-4AFF-B0CC-169C76249FB4}">
      <formula1>"Cash,Credit,UPI"</formula1>
    </dataValidation>
    <dataValidation allowBlank="1" showInputMessage="1" showErrorMessage="1" promptTitle="PRICE " prompt="THIS IS PRICE OF THE PRODUCT" sqref="O1:O51" xr:uid="{F4781C5C-7D2C-4A08-9D5A-3626F239F6EB}"/>
    <dataValidation allowBlank="1" showInputMessage="1" showErrorMessage="1" errorTitle="DONOT TOUCH" error="THIS IS SENSITIVE DATA" sqref="Q1:Q51" xr:uid="{15B270EC-8B31-4C5F-8C68-43C80150DC61}"/>
    <dataValidation type="whole" allowBlank="1" showInputMessage="1" showErrorMessage="1" errorTitle="Invalid Units" error="Please enter units between 1 and 10._x000a_" sqref="N1:N51" xr:uid="{6A77434E-BEDD-49A1-8E32-DE9756DE7D44}">
      <formula1>1</formula1>
      <formula2>10</formula2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2D9C-7DC5-4990-98F5-46840CBE15DC}">
  <dimension ref="A1:W56"/>
  <sheetViews>
    <sheetView zoomScale="107" workbookViewId="0">
      <selection activeCell="P30" sqref="P30"/>
    </sheetView>
  </sheetViews>
  <sheetFormatPr defaultRowHeight="15" x14ac:dyDescent="0.25"/>
  <cols>
    <col min="1" max="23" width="10.7109375" customWidth="1"/>
  </cols>
  <sheetData>
    <row r="1" spans="1:23" ht="12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2.95" customHeight="1" x14ac:dyDescent="0.25">
      <c r="A2" s="3" t="s">
        <v>23</v>
      </c>
      <c r="B2" s="3">
        <v>101</v>
      </c>
      <c r="C2" s="3" t="s">
        <v>24</v>
      </c>
      <c r="D2" s="3" t="s">
        <v>25</v>
      </c>
      <c r="E2" s="3" t="s">
        <v>26</v>
      </c>
      <c r="F2" s="3" t="s">
        <v>27</v>
      </c>
      <c r="G2" s="4">
        <v>45662</v>
      </c>
      <c r="H2" s="3">
        <v>25</v>
      </c>
      <c r="I2" s="3" t="s">
        <v>28</v>
      </c>
      <c r="J2" s="3" t="s">
        <v>29</v>
      </c>
      <c r="K2" s="3" t="s">
        <v>30</v>
      </c>
      <c r="L2" s="3" t="s">
        <v>31</v>
      </c>
      <c r="M2" s="4">
        <v>46027</v>
      </c>
      <c r="N2" s="3">
        <v>1</v>
      </c>
      <c r="O2" s="5">
        <v>69999</v>
      </c>
      <c r="P2" s="3">
        <v>0</v>
      </c>
      <c r="Q2" s="5">
        <v>69999</v>
      </c>
      <c r="R2" s="5">
        <v>0</v>
      </c>
      <c r="S2" s="5">
        <v>69999</v>
      </c>
      <c r="T2" s="5">
        <v>6999.9000000000005</v>
      </c>
      <c r="U2" s="3" t="s">
        <v>32</v>
      </c>
      <c r="V2" s="3" t="s">
        <v>33</v>
      </c>
      <c r="W2" s="3" t="s">
        <v>34</v>
      </c>
    </row>
    <row r="3" spans="1:23" ht="12.95" customHeight="1" x14ac:dyDescent="0.25">
      <c r="A3" s="3" t="s">
        <v>35</v>
      </c>
      <c r="B3" s="3">
        <v>102</v>
      </c>
      <c r="C3" s="3" t="s">
        <v>36</v>
      </c>
      <c r="D3" s="3" t="s">
        <v>25</v>
      </c>
      <c r="E3" s="3" t="s">
        <v>37</v>
      </c>
      <c r="F3" s="3" t="s">
        <v>38</v>
      </c>
      <c r="G3" s="4">
        <v>45665</v>
      </c>
      <c r="H3" s="3">
        <v>24</v>
      </c>
      <c r="I3" s="3" t="s">
        <v>39</v>
      </c>
      <c r="J3" s="3" t="s">
        <v>40</v>
      </c>
      <c r="K3" s="3" t="s">
        <v>41</v>
      </c>
      <c r="L3" s="3" t="s">
        <v>31</v>
      </c>
      <c r="M3" s="4">
        <v>46029</v>
      </c>
      <c r="N3" s="3">
        <v>2</v>
      </c>
      <c r="O3" s="5">
        <v>30999</v>
      </c>
      <c r="P3" s="3">
        <v>5</v>
      </c>
      <c r="Q3" s="5">
        <v>61998</v>
      </c>
      <c r="R3" s="5">
        <v>3099.9</v>
      </c>
      <c r="S3" s="5">
        <v>58898.1</v>
      </c>
      <c r="T3" s="5">
        <v>11779.62</v>
      </c>
      <c r="U3" s="3" t="s">
        <v>42</v>
      </c>
      <c r="V3" s="3" t="s">
        <v>43</v>
      </c>
      <c r="W3" s="3" t="s">
        <v>44</v>
      </c>
    </row>
    <row r="4" spans="1:23" ht="12.95" customHeight="1" x14ac:dyDescent="0.25">
      <c r="A4" s="27" t="s">
        <v>45</v>
      </c>
      <c r="B4" s="27">
        <v>103</v>
      </c>
      <c r="C4" s="27" t="s">
        <v>46</v>
      </c>
      <c r="D4" s="27" t="s">
        <v>47</v>
      </c>
      <c r="E4" s="27" t="s">
        <v>26</v>
      </c>
      <c r="F4" s="27" t="s">
        <v>38</v>
      </c>
      <c r="G4" s="28">
        <v>45669</v>
      </c>
      <c r="H4" s="27">
        <v>23</v>
      </c>
      <c r="I4" s="27" t="s">
        <v>48</v>
      </c>
      <c r="J4" s="27" t="s">
        <v>49</v>
      </c>
      <c r="K4" s="27" t="s">
        <v>50</v>
      </c>
      <c r="L4" s="27" t="s">
        <v>31</v>
      </c>
      <c r="M4" s="28">
        <v>46031</v>
      </c>
      <c r="N4" s="27">
        <v>1</v>
      </c>
      <c r="O4" s="29">
        <v>16999</v>
      </c>
      <c r="P4" s="27">
        <v>10</v>
      </c>
      <c r="Q4" s="29">
        <v>16999</v>
      </c>
      <c r="R4" s="29">
        <v>1699.9</v>
      </c>
      <c r="S4" s="29">
        <v>15299.1</v>
      </c>
      <c r="T4" s="29">
        <v>3824.7750000000001</v>
      </c>
      <c r="U4" s="27" t="s">
        <v>51</v>
      </c>
      <c r="V4" s="27" t="s">
        <v>52</v>
      </c>
      <c r="W4" s="27" t="s">
        <v>53</v>
      </c>
    </row>
    <row r="5" spans="1:23" ht="12.95" customHeight="1" x14ac:dyDescent="0.25">
      <c r="A5" s="3" t="s">
        <v>54</v>
      </c>
      <c r="B5" s="3">
        <v>104</v>
      </c>
      <c r="C5" s="3" t="s">
        <v>55</v>
      </c>
      <c r="D5" s="3" t="s">
        <v>56</v>
      </c>
      <c r="E5" s="3" t="s">
        <v>26</v>
      </c>
      <c r="F5" s="3" t="s">
        <v>38</v>
      </c>
      <c r="G5" s="4">
        <v>45672</v>
      </c>
      <c r="H5" s="3">
        <v>26</v>
      </c>
      <c r="I5" s="3" t="s">
        <v>57</v>
      </c>
      <c r="J5" s="3" t="s">
        <v>58</v>
      </c>
      <c r="K5" s="3" t="s">
        <v>59</v>
      </c>
      <c r="L5" s="3" t="s">
        <v>31</v>
      </c>
      <c r="M5" s="4">
        <v>46033</v>
      </c>
      <c r="N5" s="3">
        <v>3</v>
      </c>
      <c r="O5" s="5">
        <v>27999</v>
      </c>
      <c r="P5" s="3">
        <v>5</v>
      </c>
      <c r="Q5" s="5">
        <v>83997</v>
      </c>
      <c r="R5" s="5">
        <v>4199.8500000000004</v>
      </c>
      <c r="S5" s="5">
        <v>79797.149999999994</v>
      </c>
      <c r="T5" s="5">
        <v>23939.145</v>
      </c>
      <c r="U5" s="3" t="s">
        <v>60</v>
      </c>
      <c r="V5" s="3" t="s">
        <v>33</v>
      </c>
      <c r="W5" s="3" t="s">
        <v>61</v>
      </c>
    </row>
    <row r="6" spans="1:23" ht="12.95" customHeight="1" x14ac:dyDescent="0.25">
      <c r="A6" s="3" t="s">
        <v>62</v>
      </c>
      <c r="B6" s="3">
        <v>105</v>
      </c>
      <c r="C6" s="3" t="s">
        <v>63</v>
      </c>
      <c r="D6" s="3" t="s">
        <v>56</v>
      </c>
      <c r="E6" s="3" t="s">
        <v>64</v>
      </c>
      <c r="F6" s="3" t="s">
        <v>38</v>
      </c>
      <c r="G6" s="4">
        <v>45677</v>
      </c>
      <c r="H6" s="3">
        <v>22</v>
      </c>
      <c r="I6" s="3" t="s">
        <v>65</v>
      </c>
      <c r="J6" s="3" t="s">
        <v>66</v>
      </c>
      <c r="K6" s="3" t="s">
        <v>41</v>
      </c>
      <c r="L6" s="3" t="s">
        <v>67</v>
      </c>
      <c r="M6" s="4">
        <v>46035</v>
      </c>
      <c r="N6" s="3">
        <v>2</v>
      </c>
      <c r="O6" s="5">
        <v>8999</v>
      </c>
      <c r="P6" s="3">
        <v>8</v>
      </c>
      <c r="Q6" s="5">
        <v>17998</v>
      </c>
      <c r="R6" s="5">
        <v>1439.84</v>
      </c>
      <c r="S6" s="5">
        <v>16558.16</v>
      </c>
      <c r="T6" s="5">
        <v>1655.816</v>
      </c>
      <c r="U6" s="3" t="s">
        <v>68</v>
      </c>
      <c r="V6" s="3" t="s">
        <v>43</v>
      </c>
      <c r="W6" s="3" t="s">
        <v>69</v>
      </c>
    </row>
    <row r="7" spans="1:23" ht="12.95" customHeight="1" x14ac:dyDescent="0.25">
      <c r="A7" s="3" t="s">
        <v>70</v>
      </c>
      <c r="B7" s="3">
        <v>106</v>
      </c>
      <c r="C7" s="3" t="s">
        <v>71</v>
      </c>
      <c r="D7" s="3" t="s">
        <v>56</v>
      </c>
      <c r="E7" s="3" t="s">
        <v>26</v>
      </c>
      <c r="F7" s="3" t="s">
        <v>38</v>
      </c>
      <c r="G7" s="4">
        <v>45679</v>
      </c>
      <c r="H7" s="3">
        <v>24</v>
      </c>
      <c r="I7" s="3" t="s">
        <v>28</v>
      </c>
      <c r="J7" s="3" t="s">
        <v>29</v>
      </c>
      <c r="K7" s="3" t="s">
        <v>30</v>
      </c>
      <c r="L7" s="3" t="s">
        <v>31</v>
      </c>
      <c r="M7" s="4">
        <v>46037</v>
      </c>
      <c r="N7" s="3">
        <v>4</v>
      </c>
      <c r="O7" s="5">
        <v>69999</v>
      </c>
      <c r="P7" s="3">
        <v>12</v>
      </c>
      <c r="Q7" s="5">
        <v>279996</v>
      </c>
      <c r="R7" s="5">
        <v>33599.519999999997</v>
      </c>
      <c r="S7" s="5">
        <v>246396.48</v>
      </c>
      <c r="T7" s="5">
        <v>49279.296000000002</v>
      </c>
      <c r="U7" s="3" t="s">
        <v>32</v>
      </c>
      <c r="V7" s="3" t="s">
        <v>52</v>
      </c>
      <c r="W7" s="3" t="s">
        <v>72</v>
      </c>
    </row>
    <row r="8" spans="1:23" ht="12.95" customHeight="1" x14ac:dyDescent="0.25">
      <c r="A8" s="3" t="s">
        <v>73</v>
      </c>
      <c r="B8" s="3">
        <v>107</v>
      </c>
      <c r="C8" s="3" t="s">
        <v>74</v>
      </c>
      <c r="D8" s="3" t="s">
        <v>25</v>
      </c>
      <c r="E8" s="3" t="s">
        <v>26</v>
      </c>
      <c r="F8" s="3" t="s">
        <v>27</v>
      </c>
      <c r="G8" s="4">
        <v>45682</v>
      </c>
      <c r="H8" s="3">
        <v>27</v>
      </c>
      <c r="I8" s="3" t="s">
        <v>39</v>
      </c>
      <c r="J8" s="3" t="s">
        <v>40</v>
      </c>
      <c r="K8" s="3" t="s">
        <v>41</v>
      </c>
      <c r="L8" s="3" t="s">
        <v>31</v>
      </c>
      <c r="M8" s="4">
        <v>46039</v>
      </c>
      <c r="N8" s="3">
        <v>1</v>
      </c>
      <c r="O8" s="5">
        <v>30999</v>
      </c>
      <c r="P8" s="3">
        <v>0</v>
      </c>
      <c r="Q8" s="5">
        <v>30999</v>
      </c>
      <c r="R8" s="5">
        <v>0</v>
      </c>
      <c r="S8" s="5">
        <v>30999</v>
      </c>
      <c r="T8" s="5">
        <v>7749.75</v>
      </c>
      <c r="U8" s="3" t="s">
        <v>42</v>
      </c>
      <c r="V8" s="3" t="s">
        <v>33</v>
      </c>
      <c r="W8" s="3" t="s">
        <v>34</v>
      </c>
    </row>
    <row r="9" spans="1:23" ht="12.95" customHeight="1" x14ac:dyDescent="0.25">
      <c r="A9" s="3" t="s">
        <v>75</v>
      </c>
      <c r="B9" s="3">
        <v>108</v>
      </c>
      <c r="C9" s="3" t="s">
        <v>76</v>
      </c>
      <c r="D9" s="3" t="s">
        <v>47</v>
      </c>
      <c r="E9" s="3" t="s">
        <v>37</v>
      </c>
      <c r="F9" s="3" t="s">
        <v>27</v>
      </c>
      <c r="G9" s="4">
        <v>45685</v>
      </c>
      <c r="H9" s="3">
        <v>21</v>
      </c>
      <c r="I9" s="3" t="s">
        <v>48</v>
      </c>
      <c r="J9" s="3" t="s">
        <v>49</v>
      </c>
      <c r="K9" s="3" t="s">
        <v>50</v>
      </c>
      <c r="L9" s="3" t="s">
        <v>31</v>
      </c>
      <c r="M9" s="4">
        <v>46041</v>
      </c>
      <c r="N9" s="3">
        <v>2</v>
      </c>
      <c r="O9" s="5">
        <v>16999</v>
      </c>
      <c r="P9" s="3">
        <v>7</v>
      </c>
      <c r="Q9" s="5">
        <v>33998</v>
      </c>
      <c r="R9" s="5">
        <v>2379.86</v>
      </c>
      <c r="S9" s="5">
        <v>31618.14</v>
      </c>
      <c r="T9" s="5">
        <v>9485.4419999999991</v>
      </c>
      <c r="U9" s="3" t="s">
        <v>51</v>
      </c>
      <c r="V9" s="3" t="s">
        <v>43</v>
      </c>
      <c r="W9" s="3" t="s">
        <v>44</v>
      </c>
    </row>
    <row r="10" spans="1:23" ht="12.95" customHeight="1" x14ac:dyDescent="0.25">
      <c r="A10" s="3" t="s">
        <v>77</v>
      </c>
      <c r="B10" s="3">
        <v>109</v>
      </c>
      <c r="C10" s="3" t="s">
        <v>78</v>
      </c>
      <c r="D10" s="3" t="s">
        <v>79</v>
      </c>
      <c r="E10" s="3" t="s">
        <v>64</v>
      </c>
      <c r="F10" s="3" t="s">
        <v>27</v>
      </c>
      <c r="G10" s="4">
        <v>45690</v>
      </c>
      <c r="H10" s="3">
        <v>26</v>
      </c>
      <c r="I10" s="3" t="s">
        <v>57</v>
      </c>
      <c r="J10" s="3" t="s">
        <v>58</v>
      </c>
      <c r="K10" s="3" t="s">
        <v>59</v>
      </c>
      <c r="L10" s="3" t="s">
        <v>31</v>
      </c>
      <c r="M10" s="4">
        <v>46043</v>
      </c>
      <c r="N10" s="3">
        <v>5</v>
      </c>
      <c r="O10" s="5">
        <v>27999</v>
      </c>
      <c r="P10" s="3">
        <v>10</v>
      </c>
      <c r="Q10" s="5">
        <v>139995</v>
      </c>
      <c r="R10" s="5">
        <v>13999.5</v>
      </c>
      <c r="S10" s="5">
        <v>125995.5</v>
      </c>
      <c r="T10" s="5">
        <v>12599.55</v>
      </c>
      <c r="U10" s="3" t="s">
        <v>60</v>
      </c>
      <c r="V10" s="3" t="s">
        <v>52</v>
      </c>
      <c r="W10" s="3" t="s">
        <v>53</v>
      </c>
    </row>
    <row r="11" spans="1:23" ht="12.95" customHeight="1" x14ac:dyDescent="0.25">
      <c r="A11" s="3" t="s">
        <v>80</v>
      </c>
      <c r="B11" s="3">
        <v>110</v>
      </c>
      <c r="C11" s="3" t="s">
        <v>81</v>
      </c>
      <c r="D11" s="3" t="s">
        <v>82</v>
      </c>
      <c r="E11" s="3" t="s">
        <v>26</v>
      </c>
      <c r="F11" s="3" t="s">
        <v>38</v>
      </c>
      <c r="G11" s="4">
        <v>45693</v>
      </c>
      <c r="H11" s="3">
        <v>25</v>
      </c>
      <c r="I11" s="3" t="s">
        <v>65</v>
      </c>
      <c r="J11" s="3" t="s">
        <v>66</v>
      </c>
      <c r="K11" s="3" t="s">
        <v>41</v>
      </c>
      <c r="L11" s="3" t="s">
        <v>67</v>
      </c>
      <c r="M11" s="4">
        <v>46045</v>
      </c>
      <c r="N11" s="3">
        <v>1</v>
      </c>
      <c r="O11" s="5">
        <v>8999</v>
      </c>
      <c r="P11" s="3">
        <v>5</v>
      </c>
      <c r="Q11" s="5">
        <v>8999</v>
      </c>
      <c r="R11" s="5">
        <v>449.95</v>
      </c>
      <c r="S11" s="5">
        <v>8549.0499999999993</v>
      </c>
      <c r="T11" s="5">
        <v>1709.81</v>
      </c>
      <c r="U11" s="3" t="s">
        <v>68</v>
      </c>
      <c r="V11" s="3" t="s">
        <v>33</v>
      </c>
      <c r="W11" s="3" t="s">
        <v>61</v>
      </c>
    </row>
    <row r="12" spans="1:23" ht="12.95" customHeight="1" x14ac:dyDescent="0.25">
      <c r="A12" s="3" t="s">
        <v>83</v>
      </c>
      <c r="B12" s="3">
        <v>111</v>
      </c>
      <c r="C12" s="3" t="s">
        <v>84</v>
      </c>
      <c r="D12" s="3" t="s">
        <v>79</v>
      </c>
      <c r="E12" s="3" t="s">
        <v>37</v>
      </c>
      <c r="F12" s="3" t="s">
        <v>38</v>
      </c>
      <c r="G12" s="4">
        <v>45696</v>
      </c>
      <c r="H12" s="3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4">
        <v>46047</v>
      </c>
      <c r="N12" s="3">
        <v>1</v>
      </c>
      <c r="O12" s="5">
        <v>69999</v>
      </c>
      <c r="P12" s="3">
        <v>0</v>
      </c>
      <c r="Q12" s="5">
        <v>69999</v>
      </c>
      <c r="R12" s="5">
        <v>0</v>
      </c>
      <c r="S12" s="5">
        <v>69999</v>
      </c>
      <c r="T12" s="5">
        <v>17499.75</v>
      </c>
      <c r="U12" s="3" t="s">
        <v>32</v>
      </c>
      <c r="V12" s="3" t="s">
        <v>43</v>
      </c>
      <c r="W12" s="3" t="s">
        <v>69</v>
      </c>
    </row>
    <row r="13" spans="1:23" ht="12.95" customHeight="1" x14ac:dyDescent="0.25">
      <c r="A13" s="3" t="s">
        <v>85</v>
      </c>
      <c r="B13" s="3">
        <v>112</v>
      </c>
      <c r="C13" s="3" t="s">
        <v>86</v>
      </c>
      <c r="D13" s="3" t="s">
        <v>87</v>
      </c>
      <c r="E13" s="3" t="s">
        <v>88</v>
      </c>
      <c r="F13" s="3" t="s">
        <v>38</v>
      </c>
      <c r="G13" s="4">
        <v>45700</v>
      </c>
      <c r="H13" s="3">
        <v>28</v>
      </c>
      <c r="I13" s="3" t="s">
        <v>39</v>
      </c>
      <c r="J13" s="3" t="s">
        <v>40</v>
      </c>
      <c r="K13" s="3" t="s">
        <v>41</v>
      </c>
      <c r="L13" s="3" t="s">
        <v>31</v>
      </c>
      <c r="M13" s="4">
        <v>46049</v>
      </c>
      <c r="N13" s="3">
        <v>2</v>
      </c>
      <c r="O13" s="5">
        <v>30999</v>
      </c>
      <c r="P13" s="3">
        <v>5</v>
      </c>
      <c r="Q13" s="5">
        <v>61998</v>
      </c>
      <c r="R13" s="5">
        <v>3099.9</v>
      </c>
      <c r="S13" s="5">
        <v>58898.1</v>
      </c>
      <c r="T13" s="5">
        <v>17669.43</v>
      </c>
      <c r="U13" s="3" t="s">
        <v>42</v>
      </c>
      <c r="V13" s="3" t="s">
        <v>52</v>
      </c>
      <c r="W13" s="3" t="s">
        <v>72</v>
      </c>
    </row>
    <row r="14" spans="1:23" ht="12.95" customHeight="1" x14ac:dyDescent="0.25">
      <c r="A14" s="27" t="s">
        <v>89</v>
      </c>
      <c r="B14" s="27">
        <v>113</v>
      </c>
      <c r="C14" s="27" t="s">
        <v>90</v>
      </c>
      <c r="D14" s="27" t="s">
        <v>91</v>
      </c>
      <c r="E14" s="27" t="s">
        <v>26</v>
      </c>
      <c r="F14" s="27" t="s">
        <v>38</v>
      </c>
      <c r="G14" s="28">
        <v>45703</v>
      </c>
      <c r="H14" s="27">
        <v>20</v>
      </c>
      <c r="I14" s="27" t="s">
        <v>48</v>
      </c>
      <c r="J14" s="27" t="s">
        <v>49</v>
      </c>
      <c r="K14" s="27" t="s">
        <v>50</v>
      </c>
      <c r="L14" s="27" t="s">
        <v>31</v>
      </c>
      <c r="M14" s="28">
        <v>46051</v>
      </c>
      <c r="N14" s="27">
        <v>1</v>
      </c>
      <c r="O14" s="29">
        <v>16999</v>
      </c>
      <c r="P14" s="27">
        <v>10</v>
      </c>
      <c r="Q14" s="29">
        <v>16999</v>
      </c>
      <c r="R14" s="29">
        <v>1699.9</v>
      </c>
      <c r="S14" s="29">
        <v>15299.1</v>
      </c>
      <c r="T14" s="29">
        <v>1529.91</v>
      </c>
      <c r="U14" s="27" t="s">
        <v>51</v>
      </c>
      <c r="V14" s="27" t="s">
        <v>33</v>
      </c>
      <c r="W14" s="27" t="s">
        <v>34</v>
      </c>
    </row>
    <row r="15" spans="1:23" ht="12.95" customHeight="1" x14ac:dyDescent="0.25">
      <c r="A15" s="3" t="s">
        <v>92</v>
      </c>
      <c r="B15" s="3">
        <v>114</v>
      </c>
      <c r="C15" s="3" t="s">
        <v>93</v>
      </c>
      <c r="D15" s="3" t="s">
        <v>91</v>
      </c>
      <c r="E15" s="3" t="s">
        <v>26</v>
      </c>
      <c r="F15" s="3" t="s">
        <v>38</v>
      </c>
      <c r="G15" s="4">
        <v>45706</v>
      </c>
      <c r="H15" s="3">
        <v>22</v>
      </c>
      <c r="I15" s="3" t="s">
        <v>57</v>
      </c>
      <c r="J15" s="3" t="s">
        <v>58</v>
      </c>
      <c r="K15" s="3" t="s">
        <v>59</v>
      </c>
      <c r="L15" s="3" t="s">
        <v>31</v>
      </c>
      <c r="M15" s="4">
        <v>46053</v>
      </c>
      <c r="N15" s="3">
        <v>3</v>
      </c>
      <c r="O15" s="5">
        <v>27999</v>
      </c>
      <c r="P15" s="3">
        <v>5</v>
      </c>
      <c r="Q15" s="5">
        <v>83997</v>
      </c>
      <c r="R15" s="5">
        <v>4199.8500000000004</v>
      </c>
      <c r="S15" s="5">
        <v>79797.149999999994</v>
      </c>
      <c r="T15" s="5">
        <v>15959.43</v>
      </c>
      <c r="U15" s="3" t="s">
        <v>60</v>
      </c>
      <c r="V15" s="3" t="s">
        <v>43</v>
      </c>
      <c r="W15" s="3" t="s">
        <v>44</v>
      </c>
    </row>
    <row r="16" spans="1:23" ht="12.95" customHeight="1" x14ac:dyDescent="0.25">
      <c r="A16" s="3" t="s">
        <v>94</v>
      </c>
      <c r="B16" s="3">
        <v>115</v>
      </c>
      <c r="C16" s="3" t="s">
        <v>95</v>
      </c>
      <c r="D16" s="3" t="s">
        <v>82</v>
      </c>
      <c r="E16" s="3" t="s">
        <v>37</v>
      </c>
      <c r="F16" s="3" t="s">
        <v>27</v>
      </c>
      <c r="G16" s="4">
        <v>45708</v>
      </c>
      <c r="H16" s="3">
        <v>24</v>
      </c>
      <c r="I16" s="3" t="s">
        <v>65</v>
      </c>
      <c r="J16" s="3" t="s">
        <v>66</v>
      </c>
      <c r="K16" s="3" t="s">
        <v>41</v>
      </c>
      <c r="L16" s="3" t="s">
        <v>67</v>
      </c>
      <c r="M16" s="4">
        <v>46055</v>
      </c>
      <c r="N16" s="3">
        <v>2</v>
      </c>
      <c r="O16" s="5">
        <v>8999</v>
      </c>
      <c r="P16" s="3">
        <v>8</v>
      </c>
      <c r="Q16" s="5">
        <v>17998</v>
      </c>
      <c r="R16" s="5">
        <v>1439.84</v>
      </c>
      <c r="S16" s="5">
        <v>16558.16</v>
      </c>
      <c r="T16" s="5">
        <v>4139.54</v>
      </c>
      <c r="U16" s="3" t="s">
        <v>68</v>
      </c>
      <c r="V16" s="3" t="s">
        <v>52</v>
      </c>
      <c r="W16" s="3" t="s">
        <v>53</v>
      </c>
    </row>
    <row r="17" spans="1:23" ht="12.95" customHeight="1" x14ac:dyDescent="0.25">
      <c r="A17" s="3" t="s">
        <v>96</v>
      </c>
      <c r="B17" s="3">
        <v>116</v>
      </c>
      <c r="C17" s="3" t="s">
        <v>97</v>
      </c>
      <c r="D17" s="3" t="s">
        <v>82</v>
      </c>
      <c r="E17" s="3" t="s">
        <v>64</v>
      </c>
      <c r="F17" s="3" t="s">
        <v>27</v>
      </c>
      <c r="G17" s="4">
        <v>45710</v>
      </c>
      <c r="H17" s="3">
        <v>23</v>
      </c>
      <c r="I17" s="3" t="s">
        <v>28</v>
      </c>
      <c r="J17" s="3" t="s">
        <v>29</v>
      </c>
      <c r="K17" s="3" t="s">
        <v>30</v>
      </c>
      <c r="L17" s="3" t="s">
        <v>31</v>
      </c>
      <c r="M17" s="4">
        <v>46057</v>
      </c>
      <c r="N17" s="3">
        <v>4</v>
      </c>
      <c r="O17" s="5">
        <v>69999</v>
      </c>
      <c r="P17" s="3">
        <v>12</v>
      </c>
      <c r="Q17" s="5">
        <v>279996</v>
      </c>
      <c r="R17" s="5">
        <v>33599.519999999997</v>
      </c>
      <c r="S17" s="5">
        <v>246396.48</v>
      </c>
      <c r="T17" s="5">
        <v>73918.944000000003</v>
      </c>
      <c r="U17" s="3" t="s">
        <v>32</v>
      </c>
      <c r="V17" s="3" t="s">
        <v>33</v>
      </c>
      <c r="W17" s="3" t="s">
        <v>61</v>
      </c>
    </row>
    <row r="18" spans="1:23" ht="12.95" customHeight="1" x14ac:dyDescent="0.25">
      <c r="A18" s="3" t="s">
        <v>98</v>
      </c>
      <c r="B18" s="3">
        <v>117</v>
      </c>
      <c r="C18" s="3" t="s">
        <v>99</v>
      </c>
      <c r="D18" s="3" t="s">
        <v>47</v>
      </c>
      <c r="E18" s="3" t="s">
        <v>26</v>
      </c>
      <c r="F18" s="3" t="s">
        <v>38</v>
      </c>
      <c r="G18" s="4">
        <v>45713</v>
      </c>
      <c r="H18" s="3">
        <v>26</v>
      </c>
      <c r="I18" s="3" t="s">
        <v>39</v>
      </c>
      <c r="J18" s="3" t="s">
        <v>40</v>
      </c>
      <c r="K18" s="3" t="s">
        <v>41</v>
      </c>
      <c r="L18" s="3" t="s">
        <v>31</v>
      </c>
      <c r="M18" s="4">
        <v>46059</v>
      </c>
      <c r="N18" s="3">
        <v>1</v>
      </c>
      <c r="O18" s="5">
        <v>30999</v>
      </c>
      <c r="P18" s="3">
        <v>0</v>
      </c>
      <c r="Q18" s="5">
        <v>30999</v>
      </c>
      <c r="R18" s="5">
        <v>0</v>
      </c>
      <c r="S18" s="5">
        <v>30999</v>
      </c>
      <c r="T18" s="5">
        <v>3099.9</v>
      </c>
      <c r="U18" s="3" t="s">
        <v>42</v>
      </c>
      <c r="V18" s="3" t="s">
        <v>43</v>
      </c>
      <c r="W18" s="3" t="s">
        <v>69</v>
      </c>
    </row>
    <row r="19" spans="1:23" ht="12.95" customHeight="1" x14ac:dyDescent="0.25">
      <c r="A19" s="3" t="s">
        <v>100</v>
      </c>
      <c r="B19" s="3">
        <v>101</v>
      </c>
      <c r="C19" s="3" t="s">
        <v>24</v>
      </c>
      <c r="D19" s="3" t="s">
        <v>25</v>
      </c>
      <c r="E19" s="3" t="s">
        <v>26</v>
      </c>
      <c r="F19" s="3" t="s">
        <v>27</v>
      </c>
      <c r="G19" s="4">
        <v>45662</v>
      </c>
      <c r="H19" s="3">
        <v>25</v>
      </c>
      <c r="I19" s="3" t="s">
        <v>48</v>
      </c>
      <c r="J19" s="3" t="s">
        <v>49</v>
      </c>
      <c r="K19" s="3" t="s">
        <v>50</v>
      </c>
      <c r="L19" s="3" t="s">
        <v>31</v>
      </c>
      <c r="M19" s="4">
        <v>46061</v>
      </c>
      <c r="N19" s="3">
        <v>2</v>
      </c>
      <c r="O19" s="5">
        <v>16999</v>
      </c>
      <c r="P19" s="3">
        <v>7</v>
      </c>
      <c r="Q19" s="5">
        <v>33998</v>
      </c>
      <c r="R19" s="5">
        <v>2379.86</v>
      </c>
      <c r="S19" s="5">
        <v>31618.14</v>
      </c>
      <c r="T19" s="5">
        <v>6323.6280000000006</v>
      </c>
      <c r="U19" s="3" t="s">
        <v>51</v>
      </c>
      <c r="V19" s="3" t="s">
        <v>52</v>
      </c>
      <c r="W19" s="3" t="s">
        <v>72</v>
      </c>
    </row>
    <row r="20" spans="1:23" ht="12.95" customHeight="1" x14ac:dyDescent="0.25">
      <c r="A20" s="3" t="s">
        <v>101</v>
      </c>
      <c r="B20" s="3">
        <v>102</v>
      </c>
      <c r="C20" s="3" t="s">
        <v>36</v>
      </c>
      <c r="D20" s="3" t="s">
        <v>25</v>
      </c>
      <c r="E20" s="3" t="s">
        <v>37</v>
      </c>
      <c r="F20" s="3" t="s">
        <v>38</v>
      </c>
      <c r="G20" s="4">
        <v>45665</v>
      </c>
      <c r="H20" s="3">
        <v>24</v>
      </c>
      <c r="I20" s="3" t="s">
        <v>57</v>
      </c>
      <c r="J20" s="3" t="s">
        <v>58</v>
      </c>
      <c r="K20" s="3" t="s">
        <v>59</v>
      </c>
      <c r="L20" s="3" t="s">
        <v>31</v>
      </c>
      <c r="M20" s="4">
        <v>46063</v>
      </c>
      <c r="N20" s="3">
        <v>5</v>
      </c>
      <c r="O20" s="5">
        <v>27999</v>
      </c>
      <c r="P20" s="3">
        <v>10</v>
      </c>
      <c r="Q20" s="5">
        <v>139995</v>
      </c>
      <c r="R20" s="5">
        <v>13999.5</v>
      </c>
      <c r="S20" s="5">
        <v>125995.5</v>
      </c>
      <c r="T20" s="5">
        <v>31498.875</v>
      </c>
      <c r="U20" s="3" t="s">
        <v>60</v>
      </c>
      <c r="V20" s="3" t="s">
        <v>33</v>
      </c>
      <c r="W20" s="3" t="s">
        <v>34</v>
      </c>
    </row>
    <row r="21" spans="1:23" ht="12.95" customHeight="1" x14ac:dyDescent="0.25">
      <c r="A21" s="3" t="s">
        <v>102</v>
      </c>
      <c r="B21" s="3">
        <v>103</v>
      </c>
      <c r="C21" s="3" t="s">
        <v>46</v>
      </c>
      <c r="D21" s="3" t="s">
        <v>47</v>
      </c>
      <c r="E21" s="3" t="s">
        <v>26</v>
      </c>
      <c r="F21" s="3" t="s">
        <v>38</v>
      </c>
      <c r="G21" s="4">
        <v>45669</v>
      </c>
      <c r="H21" s="3">
        <v>23</v>
      </c>
      <c r="I21" s="3" t="s">
        <v>65</v>
      </c>
      <c r="J21" s="3" t="s">
        <v>66</v>
      </c>
      <c r="K21" s="3" t="s">
        <v>41</v>
      </c>
      <c r="L21" s="3" t="s">
        <v>67</v>
      </c>
      <c r="M21" s="4">
        <v>46065</v>
      </c>
      <c r="N21" s="3">
        <v>1</v>
      </c>
      <c r="O21" s="5">
        <v>8999</v>
      </c>
      <c r="P21" s="3">
        <v>5</v>
      </c>
      <c r="Q21" s="5">
        <v>8999</v>
      </c>
      <c r="R21" s="5">
        <v>449.95</v>
      </c>
      <c r="S21" s="5">
        <v>8549.0499999999993</v>
      </c>
      <c r="T21" s="5">
        <v>2564.7150000000001</v>
      </c>
      <c r="U21" s="3" t="s">
        <v>68</v>
      </c>
      <c r="V21" s="3" t="s">
        <v>43</v>
      </c>
      <c r="W21" s="3" t="s">
        <v>44</v>
      </c>
    </row>
    <row r="22" spans="1:23" ht="12.95" customHeight="1" x14ac:dyDescent="0.25">
      <c r="A22" s="3" t="s">
        <v>103</v>
      </c>
      <c r="B22" s="3">
        <v>104</v>
      </c>
      <c r="C22" s="3" t="s">
        <v>55</v>
      </c>
      <c r="D22" s="3" t="s">
        <v>56</v>
      </c>
      <c r="E22" s="3" t="s">
        <v>26</v>
      </c>
      <c r="F22" s="3" t="s">
        <v>38</v>
      </c>
      <c r="G22" s="4">
        <v>45672</v>
      </c>
      <c r="H22" s="3">
        <v>26</v>
      </c>
      <c r="I22" s="3" t="s">
        <v>28</v>
      </c>
      <c r="J22" s="3" t="s">
        <v>29</v>
      </c>
      <c r="K22" s="3" t="s">
        <v>30</v>
      </c>
      <c r="L22" s="3" t="s">
        <v>31</v>
      </c>
      <c r="M22" s="4">
        <v>46067</v>
      </c>
      <c r="N22" s="3">
        <v>1</v>
      </c>
      <c r="O22" s="5">
        <v>69999</v>
      </c>
      <c r="P22" s="3">
        <v>0</v>
      </c>
      <c r="Q22" s="5">
        <v>69999</v>
      </c>
      <c r="R22" s="5">
        <v>0</v>
      </c>
      <c r="S22" s="5">
        <v>69999</v>
      </c>
      <c r="T22" s="5">
        <v>6999.9000000000005</v>
      </c>
      <c r="U22" s="3" t="s">
        <v>32</v>
      </c>
      <c r="V22" s="3" t="s">
        <v>52</v>
      </c>
      <c r="W22" s="3" t="s">
        <v>53</v>
      </c>
    </row>
    <row r="23" spans="1:23" ht="12.95" customHeight="1" x14ac:dyDescent="0.25">
      <c r="A23" s="3" t="s">
        <v>104</v>
      </c>
      <c r="B23" s="3">
        <v>105</v>
      </c>
      <c r="C23" s="3" t="s">
        <v>63</v>
      </c>
      <c r="D23" s="3" t="s">
        <v>56</v>
      </c>
      <c r="E23" s="3" t="s">
        <v>64</v>
      </c>
      <c r="F23" s="3" t="s">
        <v>38</v>
      </c>
      <c r="G23" s="4">
        <v>45677</v>
      </c>
      <c r="H23" s="3">
        <v>22</v>
      </c>
      <c r="I23" s="3" t="s">
        <v>39</v>
      </c>
      <c r="J23" s="3" t="s">
        <v>40</v>
      </c>
      <c r="K23" s="3" t="s">
        <v>41</v>
      </c>
      <c r="L23" s="3" t="s">
        <v>31</v>
      </c>
      <c r="M23" s="4">
        <v>46069</v>
      </c>
      <c r="N23" s="3">
        <v>2</v>
      </c>
      <c r="O23" s="5">
        <v>30999</v>
      </c>
      <c r="P23" s="3">
        <v>5</v>
      </c>
      <c r="Q23" s="5">
        <v>61998</v>
      </c>
      <c r="R23" s="5">
        <v>3099.9</v>
      </c>
      <c r="S23" s="5">
        <v>58898.1</v>
      </c>
      <c r="T23" s="5">
        <v>11779.62</v>
      </c>
      <c r="U23" s="3" t="s">
        <v>42</v>
      </c>
      <c r="V23" s="3" t="s">
        <v>33</v>
      </c>
      <c r="W23" s="3" t="s">
        <v>61</v>
      </c>
    </row>
    <row r="24" spans="1:23" ht="12.95" customHeight="1" x14ac:dyDescent="0.25">
      <c r="A24" s="3" t="s">
        <v>105</v>
      </c>
      <c r="B24" s="3">
        <v>106</v>
      </c>
      <c r="C24" s="3" t="s">
        <v>71</v>
      </c>
      <c r="D24" s="3" t="s">
        <v>56</v>
      </c>
      <c r="E24" s="3" t="s">
        <v>26</v>
      </c>
      <c r="F24" s="3" t="s">
        <v>38</v>
      </c>
      <c r="G24" s="4">
        <v>45679</v>
      </c>
      <c r="H24" s="3">
        <v>24</v>
      </c>
      <c r="I24" s="3" t="s">
        <v>48</v>
      </c>
      <c r="J24" s="3" t="s">
        <v>49</v>
      </c>
      <c r="K24" s="3" t="s">
        <v>50</v>
      </c>
      <c r="L24" s="3" t="s">
        <v>31</v>
      </c>
      <c r="M24" s="4">
        <v>46071</v>
      </c>
      <c r="N24" s="3">
        <v>1</v>
      </c>
      <c r="O24" s="5">
        <v>16999</v>
      </c>
      <c r="P24" s="3">
        <v>10</v>
      </c>
      <c r="Q24" s="5">
        <v>16999</v>
      </c>
      <c r="R24" s="5">
        <v>1699.9</v>
      </c>
      <c r="S24" s="5">
        <v>15299.1</v>
      </c>
      <c r="T24" s="5">
        <v>3824.7750000000001</v>
      </c>
      <c r="U24" s="3" t="s">
        <v>51</v>
      </c>
      <c r="V24" s="3" t="s">
        <v>43</v>
      </c>
      <c r="W24" s="3" t="s">
        <v>69</v>
      </c>
    </row>
    <row r="25" spans="1:23" ht="12.95" customHeight="1" x14ac:dyDescent="0.25">
      <c r="A25" s="3" t="s">
        <v>106</v>
      </c>
      <c r="B25" s="3">
        <v>107</v>
      </c>
      <c r="C25" s="3" t="s">
        <v>74</v>
      </c>
      <c r="D25" s="3" t="s">
        <v>25</v>
      </c>
      <c r="E25" s="3" t="s">
        <v>26</v>
      </c>
      <c r="F25" s="3" t="s">
        <v>27</v>
      </c>
      <c r="G25" s="4">
        <v>45682</v>
      </c>
      <c r="H25" s="3">
        <v>27</v>
      </c>
      <c r="I25" s="3" t="s">
        <v>57</v>
      </c>
      <c r="J25" s="3" t="s">
        <v>58</v>
      </c>
      <c r="K25" s="3" t="s">
        <v>59</v>
      </c>
      <c r="L25" s="3" t="s">
        <v>31</v>
      </c>
      <c r="M25" s="4">
        <v>46073</v>
      </c>
      <c r="N25" s="3">
        <v>3</v>
      </c>
      <c r="O25" s="5">
        <v>27999</v>
      </c>
      <c r="P25" s="3">
        <v>5</v>
      </c>
      <c r="Q25" s="5">
        <v>83997</v>
      </c>
      <c r="R25" s="5">
        <v>4199.8500000000004</v>
      </c>
      <c r="S25" s="5">
        <v>79797.149999999994</v>
      </c>
      <c r="T25" s="5">
        <v>23939.145</v>
      </c>
      <c r="U25" s="3" t="s">
        <v>60</v>
      </c>
      <c r="V25" s="3" t="s">
        <v>52</v>
      </c>
      <c r="W25" s="3" t="s">
        <v>72</v>
      </c>
    </row>
    <row r="26" spans="1:23" ht="12.95" customHeight="1" x14ac:dyDescent="0.25">
      <c r="A26" s="3" t="s">
        <v>107</v>
      </c>
      <c r="B26" s="3">
        <v>108</v>
      </c>
      <c r="C26" s="3" t="s">
        <v>76</v>
      </c>
      <c r="D26" s="3" t="s">
        <v>47</v>
      </c>
      <c r="E26" s="3" t="s">
        <v>37</v>
      </c>
      <c r="F26" s="3" t="s">
        <v>27</v>
      </c>
      <c r="G26" s="4">
        <v>45685</v>
      </c>
      <c r="H26" s="3">
        <v>21</v>
      </c>
      <c r="I26" s="3" t="s">
        <v>65</v>
      </c>
      <c r="J26" s="3" t="s">
        <v>66</v>
      </c>
      <c r="K26" s="3" t="s">
        <v>41</v>
      </c>
      <c r="L26" s="3" t="s">
        <v>67</v>
      </c>
      <c r="M26" s="4">
        <v>46075</v>
      </c>
      <c r="N26" s="3">
        <v>2</v>
      </c>
      <c r="O26" s="5">
        <v>8999</v>
      </c>
      <c r="P26" s="3">
        <v>8</v>
      </c>
      <c r="Q26" s="5">
        <v>17998</v>
      </c>
      <c r="R26" s="5">
        <v>1439.84</v>
      </c>
      <c r="S26" s="5">
        <v>16558.16</v>
      </c>
      <c r="T26" s="5">
        <v>1655.816</v>
      </c>
      <c r="U26" s="3" t="s">
        <v>68</v>
      </c>
      <c r="V26" s="3" t="s">
        <v>33</v>
      </c>
      <c r="W26" s="3" t="s">
        <v>34</v>
      </c>
    </row>
    <row r="27" spans="1:23" ht="12.95" customHeight="1" x14ac:dyDescent="0.25">
      <c r="A27" s="3" t="s">
        <v>108</v>
      </c>
      <c r="B27" s="3">
        <v>109</v>
      </c>
      <c r="C27" s="3" t="s">
        <v>78</v>
      </c>
      <c r="D27" s="3" t="s">
        <v>79</v>
      </c>
      <c r="E27" s="3" t="s">
        <v>64</v>
      </c>
      <c r="F27" s="3" t="s">
        <v>27</v>
      </c>
      <c r="G27" s="4">
        <v>45690</v>
      </c>
      <c r="H27" s="3">
        <v>26</v>
      </c>
      <c r="I27" s="3" t="s">
        <v>28</v>
      </c>
      <c r="J27" s="3" t="s">
        <v>29</v>
      </c>
      <c r="K27" s="3" t="s">
        <v>30</v>
      </c>
      <c r="L27" s="3" t="s">
        <v>31</v>
      </c>
      <c r="M27" s="4">
        <v>46077</v>
      </c>
      <c r="N27" s="3">
        <v>4</v>
      </c>
      <c r="O27" s="5">
        <v>69999</v>
      </c>
      <c r="P27" s="3">
        <v>12</v>
      </c>
      <c r="Q27" s="5">
        <v>279996</v>
      </c>
      <c r="R27" s="5">
        <v>33599.519999999997</v>
      </c>
      <c r="S27" s="5">
        <v>246396.48</v>
      </c>
      <c r="T27" s="5">
        <v>49279.296000000002</v>
      </c>
      <c r="U27" s="3" t="s">
        <v>32</v>
      </c>
      <c r="V27" s="3" t="s">
        <v>43</v>
      </c>
      <c r="W27" s="3" t="s">
        <v>44</v>
      </c>
    </row>
    <row r="28" spans="1:23" ht="12.95" customHeight="1" x14ac:dyDescent="0.25">
      <c r="A28" s="3" t="s">
        <v>109</v>
      </c>
      <c r="B28" s="3">
        <v>110</v>
      </c>
      <c r="C28" s="3" t="s">
        <v>81</v>
      </c>
      <c r="D28" s="3" t="s">
        <v>82</v>
      </c>
      <c r="E28" s="3" t="s">
        <v>26</v>
      </c>
      <c r="F28" s="3" t="s">
        <v>38</v>
      </c>
      <c r="G28" s="4">
        <v>45693</v>
      </c>
      <c r="H28" s="3">
        <v>25</v>
      </c>
      <c r="I28" s="3" t="s">
        <v>39</v>
      </c>
      <c r="J28" s="3" t="s">
        <v>40</v>
      </c>
      <c r="K28" s="3" t="s">
        <v>41</v>
      </c>
      <c r="L28" s="3" t="s">
        <v>31</v>
      </c>
      <c r="M28" s="4">
        <v>46079</v>
      </c>
      <c r="N28" s="3">
        <v>1</v>
      </c>
      <c r="O28" s="5">
        <v>30999</v>
      </c>
      <c r="P28" s="3">
        <v>0</v>
      </c>
      <c r="Q28" s="5">
        <v>30999</v>
      </c>
      <c r="R28" s="5">
        <v>0</v>
      </c>
      <c r="S28" s="5">
        <v>30999</v>
      </c>
      <c r="T28" s="5">
        <v>7749.75</v>
      </c>
      <c r="U28" s="3" t="s">
        <v>42</v>
      </c>
      <c r="V28" s="3" t="s">
        <v>52</v>
      </c>
      <c r="W28" s="3" t="s">
        <v>53</v>
      </c>
    </row>
    <row r="29" spans="1:23" ht="12.95" customHeight="1" x14ac:dyDescent="0.25">
      <c r="A29" s="3" t="s">
        <v>110</v>
      </c>
      <c r="B29" s="3">
        <v>111</v>
      </c>
      <c r="C29" s="3" t="s">
        <v>84</v>
      </c>
      <c r="D29" s="3" t="s">
        <v>79</v>
      </c>
      <c r="E29" s="3" t="s">
        <v>37</v>
      </c>
      <c r="F29" s="3" t="s">
        <v>38</v>
      </c>
      <c r="G29" s="4">
        <v>45696</v>
      </c>
      <c r="H29" s="3">
        <v>27</v>
      </c>
      <c r="I29" s="3" t="s">
        <v>48</v>
      </c>
      <c r="J29" s="3" t="s">
        <v>49</v>
      </c>
      <c r="K29" s="3" t="s">
        <v>50</v>
      </c>
      <c r="L29" s="3" t="s">
        <v>31</v>
      </c>
      <c r="M29" s="4">
        <v>46081</v>
      </c>
      <c r="N29" s="3">
        <v>2</v>
      </c>
      <c r="O29" s="5">
        <v>16999</v>
      </c>
      <c r="P29" s="3">
        <v>7</v>
      </c>
      <c r="Q29" s="5">
        <v>33998</v>
      </c>
      <c r="R29" s="5">
        <v>2379.86</v>
      </c>
      <c r="S29" s="5">
        <v>31618.14</v>
      </c>
      <c r="T29" s="5">
        <v>9485.4419999999991</v>
      </c>
      <c r="U29" s="3" t="s">
        <v>51</v>
      </c>
      <c r="V29" s="3" t="s">
        <v>33</v>
      </c>
      <c r="W29" s="3" t="s">
        <v>61</v>
      </c>
    </row>
    <row r="30" spans="1:23" ht="12.95" customHeight="1" x14ac:dyDescent="0.25">
      <c r="A30" s="3" t="s">
        <v>111</v>
      </c>
      <c r="B30" s="3">
        <v>112</v>
      </c>
      <c r="C30" s="3" t="s">
        <v>86</v>
      </c>
      <c r="D30" s="3" t="s">
        <v>87</v>
      </c>
      <c r="E30" s="3" t="s">
        <v>88</v>
      </c>
      <c r="F30" s="3" t="s">
        <v>38</v>
      </c>
      <c r="G30" s="4">
        <v>45700</v>
      </c>
      <c r="H30" s="3">
        <v>28</v>
      </c>
      <c r="I30" s="3" t="s">
        <v>57</v>
      </c>
      <c r="J30" s="3" t="s">
        <v>58</v>
      </c>
      <c r="K30" s="3" t="s">
        <v>59</v>
      </c>
      <c r="L30" s="3" t="s">
        <v>31</v>
      </c>
      <c r="M30" s="4">
        <v>46083</v>
      </c>
      <c r="N30" s="3">
        <v>5</v>
      </c>
      <c r="O30" s="5">
        <v>27999</v>
      </c>
      <c r="P30" s="3">
        <v>10</v>
      </c>
      <c r="Q30" s="5">
        <v>139995</v>
      </c>
      <c r="R30" s="5">
        <v>13999.5</v>
      </c>
      <c r="S30" s="5">
        <v>125995.5</v>
      </c>
      <c r="T30" s="5">
        <v>12599.55</v>
      </c>
      <c r="U30" s="3" t="s">
        <v>60</v>
      </c>
      <c r="V30" s="3" t="s">
        <v>43</v>
      </c>
      <c r="W30" s="3" t="s">
        <v>69</v>
      </c>
    </row>
    <row r="31" spans="1:23" ht="12.95" customHeight="1" x14ac:dyDescent="0.25">
      <c r="A31" s="3" t="s">
        <v>112</v>
      </c>
      <c r="B31" s="3">
        <v>113</v>
      </c>
      <c r="C31" s="3" t="s">
        <v>90</v>
      </c>
      <c r="D31" s="3" t="s">
        <v>91</v>
      </c>
      <c r="E31" s="3" t="s">
        <v>26</v>
      </c>
      <c r="F31" s="3" t="s">
        <v>38</v>
      </c>
      <c r="G31" s="4">
        <v>45703</v>
      </c>
      <c r="H31" s="3">
        <v>20</v>
      </c>
      <c r="I31" s="3" t="s">
        <v>65</v>
      </c>
      <c r="J31" s="3" t="s">
        <v>66</v>
      </c>
      <c r="K31" s="3" t="s">
        <v>41</v>
      </c>
      <c r="L31" s="3" t="s">
        <v>67</v>
      </c>
      <c r="M31" s="4">
        <v>46085</v>
      </c>
      <c r="N31" s="3">
        <v>1</v>
      </c>
      <c r="O31" s="5">
        <v>8999</v>
      </c>
      <c r="P31" s="3">
        <v>5</v>
      </c>
      <c r="Q31" s="5">
        <v>8999</v>
      </c>
      <c r="R31" s="5">
        <v>449.95</v>
      </c>
      <c r="S31" s="5">
        <v>8549.0499999999993</v>
      </c>
      <c r="T31" s="5">
        <v>1709.81</v>
      </c>
      <c r="U31" s="3" t="s">
        <v>68</v>
      </c>
      <c r="V31" s="3" t="s">
        <v>52</v>
      </c>
      <c r="W31" s="3" t="s">
        <v>72</v>
      </c>
    </row>
    <row r="32" spans="1:23" ht="12.95" customHeight="1" x14ac:dyDescent="0.25">
      <c r="A32" s="3" t="s">
        <v>113</v>
      </c>
      <c r="B32" s="3">
        <v>114</v>
      </c>
      <c r="C32" s="3" t="s">
        <v>93</v>
      </c>
      <c r="D32" s="3" t="s">
        <v>91</v>
      </c>
      <c r="E32" s="3" t="s">
        <v>26</v>
      </c>
      <c r="F32" s="3" t="s">
        <v>38</v>
      </c>
      <c r="G32" s="4">
        <v>45706</v>
      </c>
      <c r="H32" s="3">
        <v>22</v>
      </c>
      <c r="I32" s="3" t="s">
        <v>28</v>
      </c>
      <c r="J32" s="3" t="s">
        <v>29</v>
      </c>
      <c r="K32" s="3" t="s">
        <v>30</v>
      </c>
      <c r="L32" s="3" t="s">
        <v>31</v>
      </c>
      <c r="M32" s="4">
        <v>46087</v>
      </c>
      <c r="N32" s="3">
        <v>1</v>
      </c>
      <c r="O32" s="5">
        <v>69999</v>
      </c>
      <c r="P32" s="3">
        <v>0</v>
      </c>
      <c r="Q32" s="5">
        <v>69999</v>
      </c>
      <c r="R32" s="5">
        <v>0</v>
      </c>
      <c r="S32" s="5">
        <v>69999</v>
      </c>
      <c r="T32" s="5">
        <v>17499.75</v>
      </c>
      <c r="U32" s="3" t="s">
        <v>32</v>
      </c>
      <c r="V32" s="3" t="s">
        <v>33</v>
      </c>
      <c r="W32" s="3" t="s">
        <v>34</v>
      </c>
    </row>
    <row r="33" spans="1:23" ht="12.95" customHeight="1" x14ac:dyDescent="0.25">
      <c r="A33" s="3" t="s">
        <v>114</v>
      </c>
      <c r="B33" s="3">
        <v>115</v>
      </c>
      <c r="C33" s="3" t="s">
        <v>95</v>
      </c>
      <c r="D33" s="3" t="s">
        <v>82</v>
      </c>
      <c r="E33" s="3" t="s">
        <v>37</v>
      </c>
      <c r="F33" s="3" t="s">
        <v>27</v>
      </c>
      <c r="G33" s="4">
        <v>45708</v>
      </c>
      <c r="H33" s="3">
        <v>24</v>
      </c>
      <c r="I33" s="3" t="s">
        <v>39</v>
      </c>
      <c r="J33" s="3" t="s">
        <v>40</v>
      </c>
      <c r="K33" s="3" t="s">
        <v>41</v>
      </c>
      <c r="L33" s="3" t="s">
        <v>31</v>
      </c>
      <c r="M33" s="4">
        <v>46089</v>
      </c>
      <c r="N33" s="3">
        <v>2</v>
      </c>
      <c r="O33" s="5">
        <v>30999</v>
      </c>
      <c r="P33" s="3">
        <v>5</v>
      </c>
      <c r="Q33" s="5">
        <v>61998</v>
      </c>
      <c r="R33" s="5">
        <v>3099.9</v>
      </c>
      <c r="S33" s="5">
        <v>58898.1</v>
      </c>
      <c r="T33" s="5">
        <v>17669.43</v>
      </c>
      <c r="U33" s="3" t="s">
        <v>42</v>
      </c>
      <c r="V33" s="3" t="s">
        <v>43</v>
      </c>
      <c r="W33" s="3" t="s">
        <v>44</v>
      </c>
    </row>
    <row r="34" spans="1:23" ht="12.95" customHeight="1" x14ac:dyDescent="0.25">
      <c r="A34" s="3" t="s">
        <v>115</v>
      </c>
      <c r="B34" s="3">
        <v>116</v>
      </c>
      <c r="C34" s="3" t="s">
        <v>97</v>
      </c>
      <c r="D34" s="3" t="s">
        <v>82</v>
      </c>
      <c r="E34" s="3" t="s">
        <v>64</v>
      </c>
      <c r="F34" s="3" t="s">
        <v>27</v>
      </c>
      <c r="G34" s="4">
        <v>45710</v>
      </c>
      <c r="H34" s="3">
        <v>23</v>
      </c>
      <c r="I34" s="3" t="s">
        <v>48</v>
      </c>
      <c r="J34" s="3" t="s">
        <v>49</v>
      </c>
      <c r="K34" s="3" t="s">
        <v>50</v>
      </c>
      <c r="L34" s="3" t="s">
        <v>31</v>
      </c>
      <c r="M34" s="4">
        <v>46091</v>
      </c>
      <c r="N34" s="3">
        <v>1</v>
      </c>
      <c r="O34" s="5">
        <v>16999</v>
      </c>
      <c r="P34" s="3">
        <v>10</v>
      </c>
      <c r="Q34" s="5">
        <v>16999</v>
      </c>
      <c r="R34" s="5">
        <v>1699.9</v>
      </c>
      <c r="S34" s="5">
        <v>15299.1</v>
      </c>
      <c r="T34" s="5">
        <v>1529.91</v>
      </c>
      <c r="U34" s="3" t="s">
        <v>51</v>
      </c>
      <c r="V34" s="3" t="s">
        <v>52</v>
      </c>
      <c r="W34" s="3" t="s">
        <v>53</v>
      </c>
    </row>
    <row r="35" spans="1:23" ht="12.95" customHeight="1" x14ac:dyDescent="0.25">
      <c r="A35" s="3" t="s">
        <v>116</v>
      </c>
      <c r="B35" s="3">
        <v>117</v>
      </c>
      <c r="C35" s="3" t="s">
        <v>99</v>
      </c>
      <c r="D35" s="3" t="s">
        <v>47</v>
      </c>
      <c r="E35" s="3" t="s">
        <v>26</v>
      </c>
      <c r="F35" s="3" t="s">
        <v>38</v>
      </c>
      <c r="G35" s="4">
        <v>45713</v>
      </c>
      <c r="H35" s="3">
        <v>26</v>
      </c>
      <c r="I35" s="3" t="s">
        <v>57</v>
      </c>
      <c r="J35" s="3" t="s">
        <v>58</v>
      </c>
      <c r="K35" s="3" t="s">
        <v>59</v>
      </c>
      <c r="L35" s="3" t="s">
        <v>31</v>
      </c>
      <c r="M35" s="4">
        <v>46093</v>
      </c>
      <c r="N35" s="3">
        <v>3</v>
      </c>
      <c r="O35" s="5">
        <v>27999</v>
      </c>
      <c r="P35" s="3">
        <v>5</v>
      </c>
      <c r="Q35" s="5">
        <v>83997</v>
      </c>
      <c r="R35" s="5">
        <v>4199.8500000000004</v>
      </c>
      <c r="S35" s="5">
        <v>79797.149999999994</v>
      </c>
      <c r="T35" s="5">
        <v>15959.43</v>
      </c>
      <c r="U35" s="3" t="s">
        <v>60</v>
      </c>
      <c r="V35" s="3" t="s">
        <v>33</v>
      </c>
      <c r="W35" s="3" t="s">
        <v>61</v>
      </c>
    </row>
    <row r="36" spans="1:23" ht="12.95" customHeight="1" x14ac:dyDescent="0.25">
      <c r="A36" s="3" t="s">
        <v>117</v>
      </c>
      <c r="B36" s="3">
        <v>101</v>
      </c>
      <c r="C36" s="3" t="s">
        <v>24</v>
      </c>
      <c r="D36" s="3" t="s">
        <v>25</v>
      </c>
      <c r="E36" s="3" t="s">
        <v>26</v>
      </c>
      <c r="F36" s="3" t="s">
        <v>27</v>
      </c>
      <c r="G36" s="4">
        <v>45662</v>
      </c>
      <c r="H36" s="3">
        <v>25</v>
      </c>
      <c r="I36" s="3" t="s">
        <v>65</v>
      </c>
      <c r="J36" s="3" t="s">
        <v>66</v>
      </c>
      <c r="K36" s="3" t="s">
        <v>41</v>
      </c>
      <c r="L36" s="3" t="s">
        <v>67</v>
      </c>
      <c r="M36" s="4">
        <v>46095</v>
      </c>
      <c r="N36" s="3">
        <v>2</v>
      </c>
      <c r="O36" s="5">
        <v>8999</v>
      </c>
      <c r="P36" s="3">
        <v>8</v>
      </c>
      <c r="Q36" s="5">
        <v>17998</v>
      </c>
      <c r="R36" s="5">
        <v>1439.84</v>
      </c>
      <c r="S36" s="5">
        <v>16558.16</v>
      </c>
      <c r="T36" s="5">
        <v>4139.54</v>
      </c>
      <c r="U36" s="3" t="s">
        <v>68</v>
      </c>
      <c r="V36" s="3" t="s">
        <v>43</v>
      </c>
      <c r="W36" s="3" t="s">
        <v>69</v>
      </c>
    </row>
    <row r="37" spans="1:23" ht="12.95" customHeight="1" x14ac:dyDescent="0.25">
      <c r="A37" s="27" t="s">
        <v>118</v>
      </c>
      <c r="B37" s="27">
        <v>102</v>
      </c>
      <c r="C37" s="27" t="s">
        <v>36</v>
      </c>
      <c r="D37" s="27" t="s">
        <v>25</v>
      </c>
      <c r="E37" s="27" t="s">
        <v>37</v>
      </c>
      <c r="F37" s="27" t="s">
        <v>38</v>
      </c>
      <c r="G37" s="28">
        <v>45665</v>
      </c>
      <c r="H37" s="27">
        <v>24</v>
      </c>
      <c r="I37" s="27" t="s">
        <v>28</v>
      </c>
      <c r="J37" s="27" t="s">
        <v>29</v>
      </c>
      <c r="K37" s="27" t="s">
        <v>30</v>
      </c>
      <c r="L37" s="27" t="s">
        <v>31</v>
      </c>
      <c r="M37" s="28">
        <v>46097</v>
      </c>
      <c r="N37" s="27">
        <v>4</v>
      </c>
      <c r="O37" s="29">
        <v>69999</v>
      </c>
      <c r="P37" s="27">
        <v>12</v>
      </c>
      <c r="Q37" s="29">
        <v>279996</v>
      </c>
      <c r="R37" s="29">
        <v>33599.519999999997</v>
      </c>
      <c r="S37" s="29">
        <v>246396.48</v>
      </c>
      <c r="T37" s="29">
        <v>73918.944000000003</v>
      </c>
      <c r="U37" s="27" t="s">
        <v>32</v>
      </c>
      <c r="V37" s="27" t="s">
        <v>52</v>
      </c>
      <c r="W37" s="27" t="s">
        <v>72</v>
      </c>
    </row>
    <row r="38" spans="1:23" ht="12.95" customHeight="1" x14ac:dyDescent="0.25">
      <c r="A38" s="3" t="s">
        <v>119</v>
      </c>
      <c r="B38" s="3">
        <v>103</v>
      </c>
      <c r="C38" s="3" t="s">
        <v>46</v>
      </c>
      <c r="D38" s="3" t="s">
        <v>47</v>
      </c>
      <c r="E38" s="3" t="s">
        <v>26</v>
      </c>
      <c r="F38" s="3" t="s">
        <v>38</v>
      </c>
      <c r="G38" s="4">
        <v>45669</v>
      </c>
      <c r="H38" s="3">
        <v>23</v>
      </c>
      <c r="I38" s="3" t="s">
        <v>39</v>
      </c>
      <c r="J38" s="3" t="s">
        <v>40</v>
      </c>
      <c r="K38" s="3" t="s">
        <v>41</v>
      </c>
      <c r="L38" s="3" t="s">
        <v>31</v>
      </c>
      <c r="M38" s="4">
        <v>46099</v>
      </c>
      <c r="N38" s="3">
        <v>1</v>
      </c>
      <c r="O38" s="5">
        <v>30999</v>
      </c>
      <c r="P38" s="3">
        <v>0</v>
      </c>
      <c r="Q38" s="5">
        <v>30999</v>
      </c>
      <c r="R38" s="5">
        <v>0</v>
      </c>
      <c r="S38" s="5">
        <v>30999</v>
      </c>
      <c r="T38" s="5">
        <v>3099.9</v>
      </c>
      <c r="U38" s="3" t="s">
        <v>42</v>
      </c>
      <c r="V38" s="3" t="s">
        <v>33</v>
      </c>
      <c r="W38" s="3" t="s">
        <v>34</v>
      </c>
    </row>
    <row r="39" spans="1:23" ht="12.95" customHeight="1" x14ac:dyDescent="0.25">
      <c r="A39" s="3" t="s">
        <v>120</v>
      </c>
      <c r="B39" s="3">
        <v>104</v>
      </c>
      <c r="C39" s="3" t="s">
        <v>55</v>
      </c>
      <c r="D39" s="3" t="s">
        <v>56</v>
      </c>
      <c r="E39" s="3" t="s">
        <v>26</v>
      </c>
      <c r="F39" s="3" t="s">
        <v>38</v>
      </c>
      <c r="G39" s="4">
        <v>45672</v>
      </c>
      <c r="H39" s="3">
        <v>26</v>
      </c>
      <c r="I39" s="3" t="s">
        <v>48</v>
      </c>
      <c r="J39" s="3" t="s">
        <v>49</v>
      </c>
      <c r="K39" s="3" t="s">
        <v>50</v>
      </c>
      <c r="L39" s="3" t="s">
        <v>31</v>
      </c>
      <c r="M39" s="4">
        <v>46101</v>
      </c>
      <c r="N39" s="3">
        <v>2</v>
      </c>
      <c r="O39" s="5">
        <v>16999</v>
      </c>
      <c r="P39" s="3">
        <v>7</v>
      </c>
      <c r="Q39" s="5">
        <v>33998</v>
      </c>
      <c r="R39" s="5">
        <v>2379.86</v>
      </c>
      <c r="S39" s="5">
        <v>31618.14</v>
      </c>
      <c r="T39" s="5">
        <v>6323.6280000000006</v>
      </c>
      <c r="U39" s="3" t="s">
        <v>51</v>
      </c>
      <c r="V39" s="3" t="s">
        <v>43</v>
      </c>
      <c r="W39" s="3" t="s">
        <v>44</v>
      </c>
    </row>
    <row r="40" spans="1:23" ht="12.95" customHeight="1" x14ac:dyDescent="0.25">
      <c r="A40" s="3" t="s">
        <v>121</v>
      </c>
      <c r="B40" s="3">
        <v>105</v>
      </c>
      <c r="C40" s="3" t="s">
        <v>63</v>
      </c>
      <c r="D40" s="3" t="s">
        <v>56</v>
      </c>
      <c r="E40" s="3" t="s">
        <v>64</v>
      </c>
      <c r="F40" s="3" t="s">
        <v>38</v>
      </c>
      <c r="G40" s="4">
        <v>45677</v>
      </c>
      <c r="H40" s="3">
        <v>22</v>
      </c>
      <c r="I40" s="3" t="s">
        <v>57</v>
      </c>
      <c r="J40" s="3" t="s">
        <v>58</v>
      </c>
      <c r="K40" s="3" t="s">
        <v>59</v>
      </c>
      <c r="L40" s="3" t="s">
        <v>31</v>
      </c>
      <c r="M40" s="4">
        <v>46103</v>
      </c>
      <c r="N40" s="3">
        <v>5</v>
      </c>
      <c r="O40" s="5">
        <v>27999</v>
      </c>
      <c r="P40" s="3">
        <v>10</v>
      </c>
      <c r="Q40" s="5">
        <v>139995</v>
      </c>
      <c r="R40" s="5">
        <v>13999.5</v>
      </c>
      <c r="S40" s="5">
        <v>125995.5</v>
      </c>
      <c r="T40" s="5">
        <v>31498.875</v>
      </c>
      <c r="U40" s="3" t="s">
        <v>60</v>
      </c>
      <c r="V40" s="3" t="s">
        <v>52</v>
      </c>
      <c r="W40" s="3" t="s">
        <v>53</v>
      </c>
    </row>
    <row r="41" spans="1:23" ht="12.95" customHeight="1" x14ac:dyDescent="0.25">
      <c r="A41" s="3" t="s">
        <v>122</v>
      </c>
      <c r="B41" s="3">
        <v>106</v>
      </c>
      <c r="C41" s="3" t="s">
        <v>71</v>
      </c>
      <c r="D41" s="3" t="s">
        <v>56</v>
      </c>
      <c r="E41" s="3" t="s">
        <v>26</v>
      </c>
      <c r="F41" s="3" t="s">
        <v>38</v>
      </c>
      <c r="G41" s="4">
        <v>45679</v>
      </c>
      <c r="H41" s="3">
        <v>24</v>
      </c>
      <c r="I41" s="3" t="s">
        <v>65</v>
      </c>
      <c r="J41" s="3" t="s">
        <v>66</v>
      </c>
      <c r="K41" s="3" t="s">
        <v>41</v>
      </c>
      <c r="L41" s="3" t="s">
        <v>67</v>
      </c>
      <c r="M41" s="4">
        <v>46105</v>
      </c>
      <c r="N41" s="3">
        <v>1</v>
      </c>
      <c r="O41" s="5">
        <v>8999</v>
      </c>
      <c r="P41" s="3">
        <v>5</v>
      </c>
      <c r="Q41" s="5">
        <v>8999</v>
      </c>
      <c r="R41" s="5">
        <v>449.95</v>
      </c>
      <c r="S41" s="5">
        <v>8549.0499999999993</v>
      </c>
      <c r="T41" s="5">
        <v>2564.7150000000001</v>
      </c>
      <c r="U41" s="3" t="s">
        <v>68</v>
      </c>
      <c r="V41" s="3" t="s">
        <v>33</v>
      </c>
      <c r="W41" s="3" t="s">
        <v>61</v>
      </c>
    </row>
    <row r="42" spans="1:23" ht="12.95" customHeight="1" x14ac:dyDescent="0.25">
      <c r="A42" s="3" t="s">
        <v>123</v>
      </c>
      <c r="B42" s="3">
        <v>107</v>
      </c>
      <c r="C42" s="3" t="s">
        <v>74</v>
      </c>
      <c r="D42" s="3" t="s">
        <v>25</v>
      </c>
      <c r="E42" s="3" t="s">
        <v>26</v>
      </c>
      <c r="F42" s="3" t="s">
        <v>27</v>
      </c>
      <c r="G42" s="4">
        <v>45682</v>
      </c>
      <c r="H42" s="3">
        <v>27</v>
      </c>
      <c r="I42" s="3" t="s">
        <v>28</v>
      </c>
      <c r="J42" s="3" t="s">
        <v>29</v>
      </c>
      <c r="K42" s="3" t="s">
        <v>30</v>
      </c>
      <c r="L42" s="3" t="s">
        <v>31</v>
      </c>
      <c r="M42" s="4">
        <v>46107</v>
      </c>
      <c r="N42" s="3">
        <v>1</v>
      </c>
      <c r="O42" s="5">
        <v>69999</v>
      </c>
      <c r="P42" s="3">
        <v>0</v>
      </c>
      <c r="Q42" s="5">
        <v>69999</v>
      </c>
      <c r="R42" s="5">
        <v>0</v>
      </c>
      <c r="S42" s="5">
        <v>69999</v>
      </c>
      <c r="T42" s="5">
        <v>6999.9000000000005</v>
      </c>
      <c r="U42" s="3" t="s">
        <v>32</v>
      </c>
      <c r="V42" s="3" t="s">
        <v>43</v>
      </c>
      <c r="W42" s="3" t="s">
        <v>69</v>
      </c>
    </row>
    <row r="43" spans="1:23" ht="12.95" customHeight="1" x14ac:dyDescent="0.25">
      <c r="A43" s="3" t="s">
        <v>124</v>
      </c>
      <c r="B43" s="3">
        <v>108</v>
      </c>
      <c r="C43" s="3" t="s">
        <v>76</v>
      </c>
      <c r="D43" s="3" t="s">
        <v>47</v>
      </c>
      <c r="E43" s="3" t="s">
        <v>37</v>
      </c>
      <c r="F43" s="3" t="s">
        <v>27</v>
      </c>
      <c r="G43" s="4">
        <v>45685</v>
      </c>
      <c r="H43" s="3">
        <v>21</v>
      </c>
      <c r="I43" s="3" t="s">
        <v>39</v>
      </c>
      <c r="J43" s="3" t="s">
        <v>40</v>
      </c>
      <c r="K43" s="3" t="s">
        <v>41</v>
      </c>
      <c r="L43" s="3" t="s">
        <v>31</v>
      </c>
      <c r="M43" s="4">
        <v>46109</v>
      </c>
      <c r="N43" s="3">
        <v>2</v>
      </c>
      <c r="O43" s="5">
        <v>30999</v>
      </c>
      <c r="P43" s="3">
        <v>5</v>
      </c>
      <c r="Q43" s="5">
        <v>61998</v>
      </c>
      <c r="R43" s="5">
        <v>3099.9</v>
      </c>
      <c r="S43" s="5">
        <v>58898.1</v>
      </c>
      <c r="T43" s="5">
        <v>11779.62</v>
      </c>
      <c r="U43" s="3" t="s">
        <v>42</v>
      </c>
      <c r="V43" s="3" t="s">
        <v>52</v>
      </c>
      <c r="W43" s="3" t="s">
        <v>72</v>
      </c>
    </row>
    <row r="44" spans="1:23" ht="12.95" customHeight="1" x14ac:dyDescent="0.25">
      <c r="A44" s="3" t="s">
        <v>125</v>
      </c>
      <c r="B44" s="3">
        <v>109</v>
      </c>
      <c r="C44" s="3" t="s">
        <v>78</v>
      </c>
      <c r="D44" s="3" t="s">
        <v>79</v>
      </c>
      <c r="E44" s="3" t="s">
        <v>64</v>
      </c>
      <c r="F44" s="3" t="s">
        <v>27</v>
      </c>
      <c r="G44" s="4">
        <v>45690</v>
      </c>
      <c r="H44" s="3">
        <v>26</v>
      </c>
      <c r="I44" s="3" t="s">
        <v>48</v>
      </c>
      <c r="J44" s="3" t="s">
        <v>49</v>
      </c>
      <c r="K44" s="3" t="s">
        <v>50</v>
      </c>
      <c r="L44" s="3" t="s">
        <v>31</v>
      </c>
      <c r="M44" s="4">
        <v>46111</v>
      </c>
      <c r="N44" s="3">
        <v>1</v>
      </c>
      <c r="O44" s="5">
        <v>16999</v>
      </c>
      <c r="P44" s="3">
        <v>10</v>
      </c>
      <c r="Q44" s="5">
        <v>16999</v>
      </c>
      <c r="R44" s="5">
        <v>1699.9</v>
      </c>
      <c r="S44" s="5">
        <v>15299.1</v>
      </c>
      <c r="T44" s="5">
        <v>3824.7750000000001</v>
      </c>
      <c r="U44" s="3" t="s">
        <v>51</v>
      </c>
      <c r="V44" s="3" t="s">
        <v>33</v>
      </c>
      <c r="W44" s="3" t="s">
        <v>34</v>
      </c>
    </row>
    <row r="45" spans="1:23" ht="12.95" customHeight="1" x14ac:dyDescent="0.25">
      <c r="A45" s="3" t="s">
        <v>126</v>
      </c>
      <c r="B45" s="3">
        <v>110</v>
      </c>
      <c r="C45" s="3" t="s">
        <v>81</v>
      </c>
      <c r="D45" s="3" t="s">
        <v>82</v>
      </c>
      <c r="E45" s="3" t="s">
        <v>26</v>
      </c>
      <c r="F45" s="3" t="s">
        <v>38</v>
      </c>
      <c r="G45" s="4">
        <v>45693</v>
      </c>
      <c r="H45" s="3">
        <v>25</v>
      </c>
      <c r="I45" s="3" t="s">
        <v>57</v>
      </c>
      <c r="J45" s="3" t="s">
        <v>58</v>
      </c>
      <c r="K45" s="3" t="s">
        <v>59</v>
      </c>
      <c r="L45" s="3" t="s">
        <v>31</v>
      </c>
      <c r="M45" s="4">
        <v>46113</v>
      </c>
      <c r="N45" s="3">
        <v>3</v>
      </c>
      <c r="O45" s="5">
        <v>27999</v>
      </c>
      <c r="P45" s="3">
        <v>5</v>
      </c>
      <c r="Q45" s="5">
        <v>83997</v>
      </c>
      <c r="R45" s="5">
        <v>4199.8500000000004</v>
      </c>
      <c r="S45" s="5">
        <v>79797.149999999994</v>
      </c>
      <c r="T45" s="5">
        <v>23939.145</v>
      </c>
      <c r="U45" s="3" t="s">
        <v>60</v>
      </c>
      <c r="V45" s="3" t="s">
        <v>43</v>
      </c>
      <c r="W45" s="3" t="s">
        <v>44</v>
      </c>
    </row>
    <row r="46" spans="1:23" ht="12.95" customHeight="1" x14ac:dyDescent="0.25">
      <c r="A46" s="3" t="s">
        <v>127</v>
      </c>
      <c r="B46" s="3">
        <v>111</v>
      </c>
      <c r="C46" s="3" t="s">
        <v>84</v>
      </c>
      <c r="D46" s="3" t="s">
        <v>79</v>
      </c>
      <c r="E46" s="3" t="s">
        <v>37</v>
      </c>
      <c r="F46" s="3" t="s">
        <v>38</v>
      </c>
      <c r="G46" s="4">
        <v>45696</v>
      </c>
      <c r="H46" s="3">
        <v>27</v>
      </c>
      <c r="I46" s="3" t="s">
        <v>65</v>
      </c>
      <c r="J46" s="3" t="s">
        <v>66</v>
      </c>
      <c r="K46" s="3" t="s">
        <v>41</v>
      </c>
      <c r="L46" s="3" t="s">
        <v>67</v>
      </c>
      <c r="M46" s="4">
        <v>46115</v>
      </c>
      <c r="N46" s="3">
        <v>2</v>
      </c>
      <c r="O46" s="5">
        <v>8999</v>
      </c>
      <c r="P46" s="3">
        <v>8</v>
      </c>
      <c r="Q46" s="5">
        <v>17998</v>
      </c>
      <c r="R46" s="5">
        <v>1439.84</v>
      </c>
      <c r="S46" s="5">
        <v>16558.16</v>
      </c>
      <c r="T46" s="5">
        <v>1655.816</v>
      </c>
      <c r="U46" s="3" t="s">
        <v>68</v>
      </c>
      <c r="V46" s="3" t="s">
        <v>52</v>
      </c>
      <c r="W46" s="3" t="s">
        <v>53</v>
      </c>
    </row>
    <row r="47" spans="1:23" ht="12.95" customHeight="1" x14ac:dyDescent="0.25">
      <c r="A47" s="3" t="s">
        <v>128</v>
      </c>
      <c r="B47" s="3">
        <v>112</v>
      </c>
      <c r="C47" s="3" t="s">
        <v>86</v>
      </c>
      <c r="D47" s="3" t="s">
        <v>87</v>
      </c>
      <c r="E47" s="3" t="s">
        <v>88</v>
      </c>
      <c r="F47" s="3" t="s">
        <v>38</v>
      </c>
      <c r="G47" s="4">
        <v>45700</v>
      </c>
      <c r="H47" s="3">
        <v>28</v>
      </c>
      <c r="I47" s="3" t="s">
        <v>28</v>
      </c>
      <c r="J47" s="3" t="s">
        <v>29</v>
      </c>
      <c r="K47" s="3" t="s">
        <v>30</v>
      </c>
      <c r="L47" s="3" t="s">
        <v>31</v>
      </c>
      <c r="M47" s="4">
        <v>46117</v>
      </c>
      <c r="N47" s="3">
        <v>4</v>
      </c>
      <c r="O47" s="5">
        <v>69999</v>
      </c>
      <c r="P47" s="3">
        <v>12</v>
      </c>
      <c r="Q47" s="5">
        <v>279996</v>
      </c>
      <c r="R47" s="5">
        <v>33599.519999999997</v>
      </c>
      <c r="S47" s="5">
        <v>246396.48</v>
      </c>
      <c r="T47" s="5">
        <v>49279.296000000002</v>
      </c>
      <c r="U47" s="3" t="s">
        <v>32</v>
      </c>
      <c r="V47" s="3" t="s">
        <v>33</v>
      </c>
      <c r="W47" s="3" t="s">
        <v>61</v>
      </c>
    </row>
    <row r="48" spans="1:23" ht="12.95" customHeight="1" x14ac:dyDescent="0.25">
      <c r="A48" s="3" t="s">
        <v>129</v>
      </c>
      <c r="B48" s="3">
        <v>113</v>
      </c>
      <c r="C48" s="3" t="s">
        <v>90</v>
      </c>
      <c r="D48" s="3" t="s">
        <v>91</v>
      </c>
      <c r="E48" s="3" t="s">
        <v>26</v>
      </c>
      <c r="F48" s="3" t="s">
        <v>38</v>
      </c>
      <c r="G48" s="4">
        <v>45703</v>
      </c>
      <c r="H48" s="3">
        <v>20</v>
      </c>
      <c r="I48" s="3" t="s">
        <v>39</v>
      </c>
      <c r="J48" s="3" t="s">
        <v>40</v>
      </c>
      <c r="K48" s="3" t="s">
        <v>41</v>
      </c>
      <c r="L48" s="3" t="s">
        <v>31</v>
      </c>
      <c r="M48" s="4">
        <v>46119</v>
      </c>
      <c r="N48" s="3">
        <v>1</v>
      </c>
      <c r="O48" s="5">
        <v>30999</v>
      </c>
      <c r="P48" s="3">
        <v>0</v>
      </c>
      <c r="Q48" s="5">
        <v>30999</v>
      </c>
      <c r="R48" s="5">
        <v>0</v>
      </c>
      <c r="S48" s="5">
        <v>30999</v>
      </c>
      <c r="T48" s="5">
        <v>7749.75</v>
      </c>
      <c r="U48" s="3" t="s">
        <v>42</v>
      </c>
      <c r="V48" s="3" t="s">
        <v>43</v>
      </c>
      <c r="W48" s="3" t="s">
        <v>69</v>
      </c>
    </row>
    <row r="49" spans="1:23" ht="12.95" customHeight="1" x14ac:dyDescent="0.25">
      <c r="A49" s="3" t="s">
        <v>130</v>
      </c>
      <c r="B49" s="3">
        <v>114</v>
      </c>
      <c r="C49" s="3" t="s">
        <v>93</v>
      </c>
      <c r="D49" s="3" t="s">
        <v>91</v>
      </c>
      <c r="E49" s="3" t="s">
        <v>26</v>
      </c>
      <c r="F49" s="3" t="s">
        <v>38</v>
      </c>
      <c r="G49" s="4">
        <v>45706</v>
      </c>
      <c r="H49" s="3">
        <v>22</v>
      </c>
      <c r="I49" s="3" t="s">
        <v>48</v>
      </c>
      <c r="J49" s="3" t="s">
        <v>49</v>
      </c>
      <c r="K49" s="3" t="s">
        <v>50</v>
      </c>
      <c r="L49" s="3" t="s">
        <v>31</v>
      </c>
      <c r="M49" s="4">
        <v>46121</v>
      </c>
      <c r="N49" s="3">
        <v>2</v>
      </c>
      <c r="O49" s="5">
        <v>16999</v>
      </c>
      <c r="P49" s="3">
        <v>7</v>
      </c>
      <c r="Q49" s="5">
        <v>33998</v>
      </c>
      <c r="R49" s="5">
        <v>2379.86</v>
      </c>
      <c r="S49" s="5">
        <v>31618.14</v>
      </c>
      <c r="T49" s="5">
        <v>9485.4419999999991</v>
      </c>
      <c r="U49" s="3" t="s">
        <v>51</v>
      </c>
      <c r="V49" s="3" t="s">
        <v>52</v>
      </c>
      <c r="W49" s="3" t="s">
        <v>72</v>
      </c>
    </row>
    <row r="50" spans="1:23" ht="12.95" customHeight="1" x14ac:dyDescent="0.25">
      <c r="A50" s="3" t="s">
        <v>131</v>
      </c>
      <c r="B50" s="3">
        <v>115</v>
      </c>
      <c r="C50" s="3" t="s">
        <v>95</v>
      </c>
      <c r="D50" s="3" t="s">
        <v>82</v>
      </c>
      <c r="E50" s="3" t="s">
        <v>37</v>
      </c>
      <c r="F50" s="3" t="s">
        <v>27</v>
      </c>
      <c r="G50" s="4">
        <v>45708</v>
      </c>
      <c r="H50" s="3">
        <v>24</v>
      </c>
      <c r="I50" s="3" t="s">
        <v>57</v>
      </c>
      <c r="J50" s="3" t="s">
        <v>58</v>
      </c>
      <c r="K50" s="3" t="s">
        <v>59</v>
      </c>
      <c r="L50" s="3" t="s">
        <v>31</v>
      </c>
      <c r="M50" s="4">
        <v>46123</v>
      </c>
      <c r="N50" s="3">
        <v>5</v>
      </c>
      <c r="O50" s="5">
        <v>27999</v>
      </c>
      <c r="P50" s="3">
        <v>10</v>
      </c>
      <c r="Q50" s="5">
        <v>139995</v>
      </c>
      <c r="R50" s="5">
        <v>13999.5</v>
      </c>
      <c r="S50" s="5">
        <v>125995.5</v>
      </c>
      <c r="T50" s="5">
        <v>12599.55</v>
      </c>
      <c r="U50" s="3" t="s">
        <v>60</v>
      </c>
      <c r="V50" s="3" t="s">
        <v>33</v>
      </c>
      <c r="W50" s="3" t="s">
        <v>34</v>
      </c>
    </row>
    <row r="51" spans="1:23" ht="12.95" customHeight="1" x14ac:dyDescent="0.25">
      <c r="A51" s="3" t="s">
        <v>132</v>
      </c>
      <c r="B51" s="3">
        <v>116</v>
      </c>
      <c r="C51" s="3" t="s">
        <v>97</v>
      </c>
      <c r="D51" s="3" t="s">
        <v>82</v>
      </c>
      <c r="E51" s="3" t="s">
        <v>64</v>
      </c>
      <c r="F51" s="3" t="s">
        <v>27</v>
      </c>
      <c r="G51" s="4">
        <v>45710</v>
      </c>
      <c r="H51" s="3">
        <v>23</v>
      </c>
      <c r="I51" s="3" t="s">
        <v>65</v>
      </c>
      <c r="J51" s="3" t="s">
        <v>66</v>
      </c>
      <c r="K51" s="3" t="s">
        <v>41</v>
      </c>
      <c r="L51" s="3" t="s">
        <v>67</v>
      </c>
      <c r="M51" s="4">
        <v>46125</v>
      </c>
      <c r="N51" s="3">
        <v>1</v>
      </c>
      <c r="O51" s="5">
        <v>8999</v>
      </c>
      <c r="P51" s="3">
        <v>5</v>
      </c>
      <c r="Q51" s="5">
        <v>8999</v>
      </c>
      <c r="R51" s="5">
        <v>449.95</v>
      </c>
      <c r="S51" s="5">
        <v>8549.0499999999993</v>
      </c>
      <c r="T51" s="5">
        <v>1709.81</v>
      </c>
      <c r="U51" s="3" t="s">
        <v>68</v>
      </c>
      <c r="V51" s="3" t="s">
        <v>43</v>
      </c>
      <c r="W51" s="3" t="s">
        <v>44</v>
      </c>
    </row>
    <row r="52" spans="1:23" ht="12.95" customHeight="1" x14ac:dyDescent="0.25"/>
    <row r="53" spans="1:23" ht="12.95" customHeight="1" x14ac:dyDescent="0.25"/>
    <row r="54" spans="1:23" ht="12.95" customHeight="1" x14ac:dyDescent="0.25"/>
    <row r="55" spans="1:23" ht="12.95" customHeight="1" x14ac:dyDescent="0.25"/>
    <row r="56" spans="1:23" ht="12.9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3834-D528-43AA-BE25-EC6F9799D516}">
  <dimension ref="A1:C9"/>
  <sheetViews>
    <sheetView workbookViewId="0">
      <selection activeCell="F12" sqref="F12"/>
    </sheetView>
  </sheetViews>
  <sheetFormatPr defaultRowHeight="15" x14ac:dyDescent="0.25"/>
  <cols>
    <col min="1" max="1" width="14.140625" bestFit="1" customWidth="1"/>
    <col min="2" max="2" width="20" bestFit="1" customWidth="1"/>
    <col min="3" max="3" width="15.28515625" bestFit="1" customWidth="1"/>
    <col min="4" max="6" width="7" bestFit="1" customWidth="1"/>
    <col min="7" max="7" width="11.28515625" bestFit="1" customWidth="1"/>
    <col min="8" max="8" width="7" bestFit="1" customWidth="1"/>
    <col min="9" max="9" width="7.7109375" bestFit="1" customWidth="1"/>
    <col min="10" max="12" width="7" bestFit="1" customWidth="1"/>
    <col min="13" max="13" width="7.7109375" bestFit="1" customWidth="1"/>
    <col min="14" max="14" width="7" bestFit="1" customWidth="1"/>
    <col min="15" max="15" width="11.28515625" bestFit="1" customWidth="1"/>
    <col min="16" max="16" width="7" bestFit="1" customWidth="1"/>
    <col min="17" max="17" width="11.28515625" bestFit="1" customWidth="1"/>
  </cols>
  <sheetData>
    <row r="1" spans="1:3" ht="15.75" x14ac:dyDescent="0.25">
      <c r="A1" s="43" t="s">
        <v>178</v>
      </c>
      <c r="B1" s="43"/>
      <c r="C1" s="43"/>
    </row>
    <row r="3" spans="1:3" x14ac:dyDescent="0.25">
      <c r="A3" s="17" t="s">
        <v>147</v>
      </c>
      <c r="B3" t="s">
        <v>177</v>
      </c>
      <c r="C3" s="7" t="s">
        <v>164</v>
      </c>
    </row>
    <row r="4" spans="1:3" x14ac:dyDescent="0.25">
      <c r="A4" s="19" t="s">
        <v>40</v>
      </c>
      <c r="B4" s="18">
        <v>30999</v>
      </c>
      <c r="C4" s="3"/>
    </row>
    <row r="5" spans="1:3" x14ac:dyDescent="0.25">
      <c r="A5" s="19" t="s">
        <v>66</v>
      </c>
      <c r="B5" s="18">
        <v>8999</v>
      </c>
      <c r="C5" s="3"/>
    </row>
    <row r="6" spans="1:3" x14ac:dyDescent="0.25">
      <c r="A6" s="19" t="s">
        <v>29</v>
      </c>
      <c r="B6" s="18">
        <v>69999</v>
      </c>
      <c r="C6" s="3"/>
    </row>
    <row r="7" spans="1:3" x14ac:dyDescent="0.25">
      <c r="A7" s="19" t="s">
        <v>58</v>
      </c>
      <c r="B7" s="18">
        <v>27999</v>
      </c>
      <c r="C7" s="3"/>
    </row>
    <row r="8" spans="1:3" x14ac:dyDescent="0.25">
      <c r="A8" s="19" t="s">
        <v>49</v>
      </c>
      <c r="B8" s="18">
        <v>16999</v>
      </c>
      <c r="C8" s="3"/>
    </row>
    <row r="9" spans="1:3" x14ac:dyDescent="0.25">
      <c r="A9" s="19" t="s">
        <v>148</v>
      </c>
      <c r="B9" s="18">
        <v>30999</v>
      </c>
      <c r="C9" s="3"/>
    </row>
  </sheetData>
  <mergeCells count="1">
    <mergeCell ref="A1:C1"/>
  </mergeCells>
  <pageMargins left="0.7" right="0.7" top="0.75" bottom="0.75" header="0.3" footer="0.3"/>
  <pageSetup orientation="portrait"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first="1" xr2:uid="{DB7C8C99-7594-4B5A-8B9E-2507BE3FBD34}">
          <x14:colorSeries rgb="FF0070C0"/>
          <x14:colorNegative rgb="FF000000"/>
          <x14:colorAxis rgb="FF000000"/>
          <x14:colorMarkers rgb="FF000000"/>
          <x14:colorFirst rgb="FF00B0F0"/>
          <x14:colorLast rgb="FF000000"/>
          <x14:colorHigh theme="6" tint="-0.249977111117893"/>
          <x14:colorLow rgb="FFFF0000"/>
          <x14:sparklines>
            <x14:sparkline>
              <xm:f>'TASK 11 &amp; 13'!A3:B3</xm:f>
              <xm:sqref>C3</xm:sqref>
            </x14:sparkline>
            <x14:sparkline>
              <xm:f>'TASK 11 &amp; 13'!A4:B4</xm:f>
              <xm:sqref>C4</xm:sqref>
            </x14:sparkline>
            <x14:sparkline>
              <xm:f>'TASK 11 &amp; 13'!A5:B5</xm:f>
              <xm:sqref>C5</xm:sqref>
            </x14:sparkline>
            <x14:sparkline>
              <xm:f>'TASK 11 &amp; 13'!A6:B6</xm:f>
              <xm:sqref>C6</xm:sqref>
            </x14:sparkline>
            <x14:sparkline>
              <xm:f>'TASK 11 &amp; 13'!A7:B7</xm:f>
              <xm:sqref>C7</xm:sqref>
            </x14:sparkline>
            <x14:sparkline>
              <xm:f>'TASK 11 &amp; 13'!A8:B8</xm:f>
              <xm:sqref>C8</xm:sqref>
            </x14:sparkline>
            <x14:sparkline>
              <xm:f>'TASK 11 &amp; 13'!A9:B9</xm:f>
              <xm:sqref>C9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9CAD4-313B-43E7-96B1-FC2258F4F194}">
  <dimension ref="A1:G9"/>
  <sheetViews>
    <sheetView workbookViewId="0">
      <selection activeCell="J12" sqref="J12"/>
    </sheetView>
  </sheetViews>
  <sheetFormatPr defaultRowHeight="15" x14ac:dyDescent="0.25"/>
  <cols>
    <col min="1" max="1" width="16" bestFit="1" customWidth="1"/>
    <col min="2" max="2" width="16.28515625" bestFit="1" customWidth="1"/>
    <col min="3" max="3" width="11.7109375" bestFit="1" customWidth="1"/>
    <col min="4" max="4" width="9.7109375" bestFit="1" customWidth="1"/>
    <col min="5" max="5" width="13.7109375" bestFit="1" customWidth="1"/>
    <col min="6" max="6" width="14.140625" bestFit="1" customWidth="1"/>
    <col min="7" max="7" width="11.28515625" bestFit="1" customWidth="1"/>
  </cols>
  <sheetData>
    <row r="1" spans="1:7" ht="15.75" x14ac:dyDescent="0.25">
      <c r="A1" s="49" t="s">
        <v>180</v>
      </c>
      <c r="B1" s="49"/>
      <c r="C1" s="49"/>
    </row>
    <row r="3" spans="1:7" x14ac:dyDescent="0.25">
      <c r="A3" s="17" t="s">
        <v>179</v>
      </c>
      <c r="B3" s="17" t="s">
        <v>151</v>
      </c>
    </row>
    <row r="4" spans="1:7" x14ac:dyDescent="0.25">
      <c r="A4" s="17" t="s">
        <v>147</v>
      </c>
      <c r="B4" t="s">
        <v>40</v>
      </c>
      <c r="C4" t="s">
        <v>66</v>
      </c>
      <c r="D4" t="s">
        <v>29</v>
      </c>
      <c r="E4" t="s">
        <v>58</v>
      </c>
      <c r="F4" t="s">
        <v>49</v>
      </c>
      <c r="G4" t="s">
        <v>148</v>
      </c>
    </row>
    <row r="5" spans="1:7" x14ac:dyDescent="0.25">
      <c r="A5" s="19" t="s">
        <v>30</v>
      </c>
      <c r="B5" s="18"/>
      <c r="C5" s="18"/>
      <c r="D5" s="18">
        <v>10</v>
      </c>
      <c r="E5" s="18"/>
      <c r="F5" s="18"/>
      <c r="G5" s="18">
        <v>10</v>
      </c>
    </row>
    <row r="6" spans="1:7" x14ac:dyDescent="0.25">
      <c r="A6" s="19" t="s">
        <v>59</v>
      </c>
      <c r="B6" s="18"/>
      <c r="C6" s="18"/>
      <c r="D6" s="18"/>
      <c r="E6" s="18">
        <v>10</v>
      </c>
      <c r="F6" s="18"/>
      <c r="G6" s="18">
        <v>10</v>
      </c>
    </row>
    <row r="7" spans="1:7" x14ac:dyDescent="0.25">
      <c r="A7" s="19" t="s">
        <v>41</v>
      </c>
      <c r="B7" s="18">
        <v>10</v>
      </c>
      <c r="C7" s="18">
        <v>10</v>
      </c>
      <c r="D7" s="18"/>
      <c r="E7" s="18"/>
      <c r="F7" s="18"/>
      <c r="G7" s="18">
        <v>20</v>
      </c>
    </row>
    <row r="8" spans="1:7" x14ac:dyDescent="0.25">
      <c r="A8" s="19" t="s">
        <v>50</v>
      </c>
      <c r="B8" s="18"/>
      <c r="C8" s="18"/>
      <c r="D8" s="18"/>
      <c r="E8" s="18"/>
      <c r="F8" s="18">
        <v>10</v>
      </c>
      <c r="G8" s="18">
        <v>10</v>
      </c>
    </row>
    <row r="9" spans="1:7" x14ac:dyDescent="0.25">
      <c r="A9" s="19" t="s">
        <v>148</v>
      </c>
      <c r="B9" s="18">
        <v>10</v>
      </c>
      <c r="C9" s="18">
        <v>10</v>
      </c>
      <c r="D9" s="18">
        <v>10</v>
      </c>
      <c r="E9" s="18">
        <v>10</v>
      </c>
      <c r="F9" s="18">
        <v>10</v>
      </c>
      <c r="G9" s="18">
        <v>50</v>
      </c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2784C-35C5-4B10-B979-DE2026E3BC86}">
  <dimension ref="A1:C9"/>
  <sheetViews>
    <sheetView workbookViewId="0">
      <selection activeCell="D11" sqref="D11"/>
    </sheetView>
  </sheetViews>
  <sheetFormatPr defaultRowHeight="15" x14ac:dyDescent="0.25"/>
  <cols>
    <col min="1" max="1" width="14.140625" bestFit="1" customWidth="1"/>
    <col min="2" max="2" width="20" bestFit="1" customWidth="1"/>
  </cols>
  <sheetData>
    <row r="1" spans="1:3" ht="15.75" x14ac:dyDescent="0.25">
      <c r="A1" s="49" t="s">
        <v>181</v>
      </c>
      <c r="B1" s="49"/>
      <c r="C1" s="49"/>
    </row>
    <row r="3" spans="1:3" x14ac:dyDescent="0.25">
      <c r="A3" s="17" t="s">
        <v>147</v>
      </c>
      <c r="B3" t="s">
        <v>177</v>
      </c>
    </row>
    <row r="4" spans="1:3" x14ac:dyDescent="0.25">
      <c r="A4" s="19" t="s">
        <v>40</v>
      </c>
      <c r="B4" s="18">
        <v>30999</v>
      </c>
    </row>
    <row r="5" spans="1:3" x14ac:dyDescent="0.25">
      <c r="A5" s="19" t="s">
        <v>66</v>
      </c>
      <c r="B5" s="18">
        <v>8999</v>
      </c>
    </row>
    <row r="6" spans="1:3" x14ac:dyDescent="0.25">
      <c r="A6" s="19" t="s">
        <v>29</v>
      </c>
      <c r="B6" s="18">
        <v>69999</v>
      </c>
    </row>
    <row r="7" spans="1:3" x14ac:dyDescent="0.25">
      <c r="A7" s="19" t="s">
        <v>58</v>
      </c>
      <c r="B7" s="18">
        <v>27999</v>
      </c>
    </row>
    <row r="8" spans="1:3" x14ac:dyDescent="0.25">
      <c r="A8" s="19" t="s">
        <v>49</v>
      </c>
      <c r="B8" s="18">
        <v>16999</v>
      </c>
    </row>
    <row r="9" spans="1:3" x14ac:dyDescent="0.25">
      <c r="A9" s="19" t="s">
        <v>148</v>
      </c>
      <c r="B9" s="18">
        <v>30999</v>
      </c>
    </row>
  </sheetData>
  <mergeCells count="1">
    <mergeCell ref="A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83C1F-1532-4AE0-9389-25D3ABB2D8DC}">
  <dimension ref="A1:N44"/>
  <sheetViews>
    <sheetView topLeftCell="A23" workbookViewId="0">
      <selection activeCell="G24" sqref="G24"/>
    </sheetView>
  </sheetViews>
  <sheetFormatPr defaultRowHeight="15" x14ac:dyDescent="0.25"/>
  <cols>
    <col min="1" max="1" width="22.85546875" bestFit="1" customWidth="1"/>
    <col min="2" max="2" width="16.28515625" bestFit="1" customWidth="1"/>
    <col min="3" max="3" width="8.140625" bestFit="1" customWidth="1"/>
    <col min="4" max="4" width="7.85546875" bestFit="1" customWidth="1"/>
    <col min="5" max="5" width="10.140625" bestFit="1" customWidth="1"/>
    <col min="6" max="6" width="8.7109375" bestFit="1" customWidth="1"/>
    <col min="7" max="7" width="5" bestFit="1" customWidth="1"/>
    <col min="8" max="8" width="5.5703125" bestFit="1" customWidth="1"/>
    <col min="9" max="9" width="11.28515625" bestFit="1" customWidth="1"/>
    <col min="13" max="13" width="13.42578125" customWidth="1"/>
  </cols>
  <sheetData>
    <row r="1" spans="1:3" ht="15.75" x14ac:dyDescent="0.25">
      <c r="A1" s="49" t="s">
        <v>182</v>
      </c>
      <c r="B1" s="49"/>
      <c r="C1" s="49"/>
    </row>
    <row r="3" spans="1:3" x14ac:dyDescent="0.25">
      <c r="A3" s="17" t="s">
        <v>147</v>
      </c>
      <c r="B3" t="s">
        <v>157</v>
      </c>
    </row>
    <row r="4" spans="1:3" x14ac:dyDescent="0.25">
      <c r="A4" s="19" t="s">
        <v>97</v>
      </c>
      <c r="B4" s="18">
        <v>69</v>
      </c>
    </row>
    <row r="5" spans="1:3" x14ac:dyDescent="0.25">
      <c r="A5" s="19" t="s">
        <v>95</v>
      </c>
      <c r="B5" s="18">
        <v>72</v>
      </c>
    </row>
    <row r="6" spans="1:3" x14ac:dyDescent="0.25">
      <c r="A6" s="19" t="s">
        <v>76</v>
      </c>
      <c r="B6" s="18">
        <v>63</v>
      </c>
    </row>
    <row r="7" spans="1:3" x14ac:dyDescent="0.25">
      <c r="A7" s="19" t="s">
        <v>46</v>
      </c>
      <c r="B7" s="18">
        <v>69</v>
      </c>
    </row>
    <row r="8" spans="1:3" x14ac:dyDescent="0.25">
      <c r="A8" s="19" t="s">
        <v>78</v>
      </c>
      <c r="B8" s="18">
        <v>78</v>
      </c>
    </row>
    <row r="9" spans="1:3" x14ac:dyDescent="0.25">
      <c r="A9" s="19" t="s">
        <v>63</v>
      </c>
      <c r="B9" s="18">
        <v>66</v>
      </c>
    </row>
    <row r="10" spans="1:3" x14ac:dyDescent="0.25">
      <c r="A10" s="19" t="s">
        <v>90</v>
      </c>
      <c r="B10" s="18">
        <v>60</v>
      </c>
    </row>
    <row r="11" spans="1:3" x14ac:dyDescent="0.25">
      <c r="A11" s="19" t="s">
        <v>84</v>
      </c>
      <c r="B11" s="18">
        <v>81</v>
      </c>
    </row>
    <row r="12" spans="1:3" x14ac:dyDescent="0.25">
      <c r="A12" s="19" t="s">
        <v>71</v>
      </c>
      <c r="B12" s="18">
        <v>72</v>
      </c>
    </row>
    <row r="13" spans="1:3" x14ac:dyDescent="0.25">
      <c r="A13" s="19" t="s">
        <v>74</v>
      </c>
      <c r="B13" s="18">
        <v>81</v>
      </c>
    </row>
    <row r="14" spans="1:3" x14ac:dyDescent="0.25">
      <c r="A14" s="19" t="s">
        <v>99</v>
      </c>
      <c r="B14" s="18">
        <v>52</v>
      </c>
    </row>
    <row r="15" spans="1:3" x14ac:dyDescent="0.25">
      <c r="A15" s="19" t="s">
        <v>93</v>
      </c>
      <c r="B15" s="18">
        <v>66</v>
      </c>
    </row>
    <row r="16" spans="1:3" x14ac:dyDescent="0.25">
      <c r="A16" s="19" t="s">
        <v>24</v>
      </c>
      <c r="B16" s="18">
        <v>75</v>
      </c>
    </row>
    <row r="17" spans="1:14" x14ac:dyDescent="0.25">
      <c r="A17" s="19" t="s">
        <v>55</v>
      </c>
      <c r="B17" s="18">
        <v>78</v>
      </c>
    </row>
    <row r="18" spans="1:14" x14ac:dyDescent="0.25">
      <c r="A18" s="19" t="s">
        <v>86</v>
      </c>
      <c r="B18" s="18">
        <v>84</v>
      </c>
    </row>
    <row r="19" spans="1:14" x14ac:dyDescent="0.25">
      <c r="A19" s="19" t="s">
        <v>81</v>
      </c>
      <c r="B19" s="18">
        <v>75</v>
      </c>
    </row>
    <row r="20" spans="1:14" x14ac:dyDescent="0.25">
      <c r="A20" s="19" t="s">
        <v>36</v>
      </c>
      <c r="B20" s="18">
        <v>72</v>
      </c>
    </row>
    <row r="21" spans="1:14" x14ac:dyDescent="0.25">
      <c r="A21" s="19" t="s">
        <v>148</v>
      </c>
      <c r="B21" s="18">
        <v>1213</v>
      </c>
    </row>
    <row r="23" spans="1:14" ht="15.75" x14ac:dyDescent="0.25">
      <c r="A23" s="49" t="s">
        <v>183</v>
      </c>
      <c r="B23" s="49"/>
      <c r="J23" s="49" t="s">
        <v>184</v>
      </c>
      <c r="K23" s="49"/>
      <c r="L23" s="49"/>
      <c r="M23" s="49"/>
      <c r="N23" s="49"/>
    </row>
    <row r="25" spans="1:14" x14ac:dyDescent="0.25">
      <c r="A25" s="17" t="s">
        <v>157</v>
      </c>
      <c r="B25" s="17" t="s">
        <v>151</v>
      </c>
    </row>
    <row r="26" spans="1:14" x14ac:dyDescent="0.25">
      <c r="A26" s="17" t="s">
        <v>147</v>
      </c>
      <c r="B26" t="s">
        <v>82</v>
      </c>
      <c r="C26" t="s">
        <v>87</v>
      </c>
      <c r="D26" t="s">
        <v>79</v>
      </c>
      <c r="E26" t="s">
        <v>47</v>
      </c>
      <c r="F26" t="s">
        <v>91</v>
      </c>
      <c r="G26" t="s">
        <v>56</v>
      </c>
      <c r="H26" t="s">
        <v>25</v>
      </c>
      <c r="I26" t="s">
        <v>148</v>
      </c>
    </row>
    <row r="27" spans="1:14" x14ac:dyDescent="0.25">
      <c r="A27" s="19" t="s">
        <v>97</v>
      </c>
      <c r="B27" s="18">
        <v>69</v>
      </c>
      <c r="C27" s="18"/>
      <c r="D27" s="18"/>
      <c r="E27" s="18"/>
      <c r="F27" s="18"/>
      <c r="G27" s="18"/>
      <c r="H27" s="18"/>
      <c r="I27" s="18">
        <v>69</v>
      </c>
    </row>
    <row r="28" spans="1:14" x14ac:dyDescent="0.25">
      <c r="A28" s="19" t="s">
        <v>95</v>
      </c>
      <c r="B28" s="18">
        <v>72</v>
      </c>
      <c r="C28" s="18"/>
      <c r="D28" s="18"/>
      <c r="E28" s="18"/>
      <c r="F28" s="18"/>
      <c r="G28" s="18"/>
      <c r="H28" s="18"/>
      <c r="I28" s="18">
        <v>72</v>
      </c>
    </row>
    <row r="29" spans="1:14" x14ac:dyDescent="0.25">
      <c r="A29" s="19" t="s">
        <v>76</v>
      </c>
      <c r="B29" s="18"/>
      <c r="C29" s="18"/>
      <c r="D29" s="18"/>
      <c r="E29" s="18">
        <v>63</v>
      </c>
      <c r="F29" s="18"/>
      <c r="G29" s="18"/>
      <c r="H29" s="18"/>
      <c r="I29" s="18">
        <v>63</v>
      </c>
    </row>
    <row r="30" spans="1:14" x14ac:dyDescent="0.25">
      <c r="A30" s="19" t="s">
        <v>46</v>
      </c>
      <c r="B30" s="18"/>
      <c r="C30" s="18"/>
      <c r="D30" s="18"/>
      <c r="E30" s="18">
        <v>69</v>
      </c>
      <c r="F30" s="18"/>
      <c r="G30" s="18"/>
      <c r="H30" s="18"/>
      <c r="I30" s="18">
        <v>69</v>
      </c>
    </row>
    <row r="31" spans="1:14" x14ac:dyDescent="0.25">
      <c r="A31" s="19" t="s">
        <v>78</v>
      </c>
      <c r="B31" s="18"/>
      <c r="C31" s="18"/>
      <c r="D31" s="18">
        <v>78</v>
      </c>
      <c r="E31" s="18"/>
      <c r="F31" s="18"/>
      <c r="G31" s="18"/>
      <c r="H31" s="18"/>
      <c r="I31" s="18">
        <v>78</v>
      </c>
    </row>
    <row r="32" spans="1:14" x14ac:dyDescent="0.25">
      <c r="A32" s="19" t="s">
        <v>63</v>
      </c>
      <c r="B32" s="18"/>
      <c r="C32" s="18"/>
      <c r="D32" s="18"/>
      <c r="E32" s="18"/>
      <c r="F32" s="18"/>
      <c r="G32" s="18">
        <v>66</v>
      </c>
      <c r="H32" s="18"/>
      <c r="I32" s="18">
        <v>66</v>
      </c>
    </row>
    <row r="33" spans="1:9" x14ac:dyDescent="0.25">
      <c r="A33" s="19" t="s">
        <v>90</v>
      </c>
      <c r="B33" s="18"/>
      <c r="C33" s="18"/>
      <c r="D33" s="18"/>
      <c r="E33" s="18"/>
      <c r="F33" s="18">
        <v>60</v>
      </c>
      <c r="G33" s="18"/>
      <c r="H33" s="18"/>
      <c r="I33" s="18">
        <v>60</v>
      </c>
    </row>
    <row r="34" spans="1:9" x14ac:dyDescent="0.25">
      <c r="A34" s="19" t="s">
        <v>84</v>
      </c>
      <c r="B34" s="18"/>
      <c r="C34" s="18"/>
      <c r="D34" s="18">
        <v>81</v>
      </c>
      <c r="E34" s="18"/>
      <c r="F34" s="18"/>
      <c r="G34" s="18"/>
      <c r="H34" s="18"/>
      <c r="I34" s="18">
        <v>81</v>
      </c>
    </row>
    <row r="35" spans="1:9" x14ac:dyDescent="0.25">
      <c r="A35" s="19" t="s">
        <v>71</v>
      </c>
      <c r="B35" s="18"/>
      <c r="C35" s="18"/>
      <c r="D35" s="18"/>
      <c r="E35" s="18"/>
      <c r="F35" s="18"/>
      <c r="G35" s="18">
        <v>72</v>
      </c>
      <c r="H35" s="18"/>
      <c r="I35" s="18">
        <v>72</v>
      </c>
    </row>
    <row r="36" spans="1:9" x14ac:dyDescent="0.25">
      <c r="A36" s="19" t="s">
        <v>74</v>
      </c>
      <c r="B36" s="18"/>
      <c r="C36" s="18"/>
      <c r="D36" s="18"/>
      <c r="E36" s="18"/>
      <c r="F36" s="18"/>
      <c r="G36" s="18"/>
      <c r="H36" s="18">
        <v>81</v>
      </c>
      <c r="I36" s="18">
        <v>81</v>
      </c>
    </row>
    <row r="37" spans="1:9" x14ac:dyDescent="0.25">
      <c r="A37" s="19" t="s">
        <v>99</v>
      </c>
      <c r="B37" s="18"/>
      <c r="C37" s="18"/>
      <c r="D37" s="18"/>
      <c r="E37" s="18">
        <v>52</v>
      </c>
      <c r="F37" s="18"/>
      <c r="G37" s="18"/>
      <c r="H37" s="18"/>
      <c r="I37" s="18">
        <v>52</v>
      </c>
    </row>
    <row r="38" spans="1:9" x14ac:dyDescent="0.25">
      <c r="A38" s="19" t="s">
        <v>93</v>
      </c>
      <c r="B38" s="18"/>
      <c r="C38" s="18"/>
      <c r="D38" s="18"/>
      <c r="E38" s="18"/>
      <c r="F38" s="18">
        <v>66</v>
      </c>
      <c r="G38" s="18"/>
      <c r="H38" s="18"/>
      <c r="I38" s="18">
        <v>66</v>
      </c>
    </row>
    <row r="39" spans="1:9" x14ac:dyDescent="0.25">
      <c r="A39" s="19" t="s">
        <v>24</v>
      </c>
      <c r="B39" s="18"/>
      <c r="C39" s="18"/>
      <c r="D39" s="18"/>
      <c r="E39" s="18"/>
      <c r="F39" s="18"/>
      <c r="G39" s="18"/>
      <c r="H39" s="18">
        <v>75</v>
      </c>
      <c r="I39" s="18">
        <v>75</v>
      </c>
    </row>
    <row r="40" spans="1:9" x14ac:dyDescent="0.25">
      <c r="A40" s="19" t="s">
        <v>55</v>
      </c>
      <c r="B40" s="18"/>
      <c r="C40" s="18"/>
      <c r="D40" s="18"/>
      <c r="E40" s="18"/>
      <c r="F40" s="18"/>
      <c r="G40" s="18">
        <v>78</v>
      </c>
      <c r="H40" s="18"/>
      <c r="I40" s="18">
        <v>78</v>
      </c>
    </row>
    <row r="41" spans="1:9" x14ac:dyDescent="0.25">
      <c r="A41" s="19" t="s">
        <v>86</v>
      </c>
      <c r="B41" s="18"/>
      <c r="C41" s="18">
        <v>84</v>
      </c>
      <c r="D41" s="18"/>
      <c r="E41" s="18"/>
      <c r="F41" s="18"/>
      <c r="G41" s="18"/>
      <c r="H41" s="18"/>
      <c r="I41" s="18">
        <v>84</v>
      </c>
    </row>
    <row r="42" spans="1:9" x14ac:dyDescent="0.25">
      <c r="A42" s="19" t="s">
        <v>81</v>
      </c>
      <c r="B42" s="18">
        <v>75</v>
      </c>
      <c r="C42" s="18"/>
      <c r="D42" s="18"/>
      <c r="E42" s="18"/>
      <c r="F42" s="18"/>
      <c r="G42" s="18"/>
      <c r="H42" s="18"/>
      <c r="I42" s="18">
        <v>75</v>
      </c>
    </row>
    <row r="43" spans="1:9" x14ac:dyDescent="0.25">
      <c r="A43" s="19" t="s">
        <v>36</v>
      </c>
      <c r="B43" s="18"/>
      <c r="C43" s="18"/>
      <c r="D43" s="18"/>
      <c r="E43" s="18"/>
      <c r="F43" s="18"/>
      <c r="G43" s="18"/>
      <c r="H43" s="18">
        <v>72</v>
      </c>
      <c r="I43" s="18">
        <v>72</v>
      </c>
    </row>
    <row r="44" spans="1:9" x14ac:dyDescent="0.25">
      <c r="A44" s="19" t="s">
        <v>148</v>
      </c>
      <c r="B44" s="18">
        <v>216</v>
      </c>
      <c r="C44" s="18">
        <v>84</v>
      </c>
      <c r="D44" s="18">
        <v>159</v>
      </c>
      <c r="E44" s="18">
        <v>184</v>
      </c>
      <c r="F44" s="18">
        <v>126</v>
      </c>
      <c r="G44" s="18">
        <v>216</v>
      </c>
      <c r="H44" s="18">
        <v>228</v>
      </c>
      <c r="I44" s="18">
        <v>1213</v>
      </c>
    </row>
  </sheetData>
  <mergeCells count="3">
    <mergeCell ref="A1:C1"/>
    <mergeCell ref="A23:B23"/>
    <mergeCell ref="J23:N23"/>
  </mergeCells>
  <pageMargins left="0.7" right="0.7" top="0.75" bottom="0.75" header="0.3" footer="0.3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1757-8759-4C56-8473-334C4230D49A}">
  <dimension ref="A1:C11"/>
  <sheetViews>
    <sheetView workbookViewId="0">
      <selection activeCell="B4" sqref="B4:B10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1" spans="1:3" ht="15.75" x14ac:dyDescent="0.25">
      <c r="A1" s="49" t="s">
        <v>185</v>
      </c>
      <c r="B1" s="49"/>
      <c r="C1" s="49"/>
    </row>
    <row r="3" spans="1:3" x14ac:dyDescent="0.25">
      <c r="A3" s="17" t="s">
        <v>147</v>
      </c>
      <c r="B3" t="s">
        <v>149</v>
      </c>
    </row>
    <row r="4" spans="1:3" x14ac:dyDescent="0.25">
      <c r="A4" s="19" t="s">
        <v>82</v>
      </c>
      <c r="B4" s="18">
        <v>591041.59</v>
      </c>
    </row>
    <row r="5" spans="1:3" x14ac:dyDescent="0.25">
      <c r="A5" s="19" t="s">
        <v>87</v>
      </c>
      <c r="B5" s="18">
        <v>431290.08</v>
      </c>
    </row>
    <row r="6" spans="1:3" x14ac:dyDescent="0.25">
      <c r="A6" s="19" t="s">
        <v>79</v>
      </c>
      <c r="B6" s="18">
        <v>505866.37999999995</v>
      </c>
    </row>
    <row r="7" spans="1:3" x14ac:dyDescent="0.25">
      <c r="A7" s="19" t="s">
        <v>47</v>
      </c>
      <c r="B7" s="18">
        <v>272717.69999999995</v>
      </c>
    </row>
    <row r="8" spans="1:3" x14ac:dyDescent="0.25">
      <c r="A8" s="19" t="s">
        <v>91</v>
      </c>
      <c r="B8" s="18">
        <v>236261.44</v>
      </c>
    </row>
    <row r="9" spans="1:3" x14ac:dyDescent="0.25">
      <c r="A9" s="19" t="s">
        <v>56</v>
      </c>
      <c r="B9" s="18">
        <v>653110.68000000005</v>
      </c>
    </row>
    <row r="10" spans="1:3" x14ac:dyDescent="0.25">
      <c r="A10" s="19" t="s">
        <v>25</v>
      </c>
      <c r="B10" s="18">
        <v>730260.53</v>
      </c>
    </row>
    <row r="11" spans="1:3" x14ac:dyDescent="0.25">
      <c r="A11" s="19" t="s">
        <v>148</v>
      </c>
      <c r="B11" s="18">
        <v>3420548.3999999994</v>
      </c>
    </row>
  </sheetData>
  <mergeCells count="1">
    <mergeCell ref="A1:C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9E32-3E4A-4257-BB4A-F46B55F914E4}">
  <dimension ref="A1:B6"/>
  <sheetViews>
    <sheetView workbookViewId="0">
      <selection activeCell="F18" sqref="F18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1" spans="1:2" ht="15.75" x14ac:dyDescent="0.25">
      <c r="A1" s="49" t="s">
        <v>186</v>
      </c>
      <c r="B1" s="49"/>
    </row>
    <row r="3" spans="1:2" x14ac:dyDescent="0.25">
      <c r="A3" s="17" t="s">
        <v>147</v>
      </c>
      <c r="B3" t="s">
        <v>149</v>
      </c>
    </row>
    <row r="4" spans="1:2" x14ac:dyDescent="0.25">
      <c r="A4" s="19" t="s">
        <v>38</v>
      </c>
      <c r="B4" s="18">
        <v>2155116.0799999996</v>
      </c>
    </row>
    <row r="5" spans="1:2" x14ac:dyDescent="0.25">
      <c r="A5" s="19" t="s">
        <v>27</v>
      </c>
      <c r="B5" s="18">
        <v>1265432.3200000003</v>
      </c>
    </row>
    <row r="6" spans="1:2" x14ac:dyDescent="0.25">
      <c r="A6" s="19" t="s">
        <v>148</v>
      </c>
      <c r="B6" s="18">
        <v>3420548.4</v>
      </c>
    </row>
  </sheetData>
  <mergeCells count="1"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05C1-DA6B-4927-9EDA-290775BC8ED2}">
  <dimension ref="A1:B11"/>
  <sheetViews>
    <sheetView workbookViewId="0">
      <selection activeCell="D12" sqref="D12"/>
    </sheetView>
  </sheetViews>
  <sheetFormatPr defaultRowHeight="15" x14ac:dyDescent="0.25"/>
  <cols>
    <col min="1" max="1" width="13.140625" bestFit="1" customWidth="1"/>
    <col min="2" max="2" width="24" bestFit="1" customWidth="1"/>
  </cols>
  <sheetData>
    <row r="1" spans="1:2" ht="15.75" x14ac:dyDescent="0.25">
      <c r="A1" s="49" t="s">
        <v>188</v>
      </c>
      <c r="B1" s="49"/>
    </row>
    <row r="3" spans="1:2" x14ac:dyDescent="0.25">
      <c r="A3" s="17" t="s">
        <v>147</v>
      </c>
      <c r="B3" t="s">
        <v>187</v>
      </c>
    </row>
    <row r="4" spans="1:2" x14ac:dyDescent="0.25">
      <c r="A4" s="19" t="s">
        <v>82</v>
      </c>
      <c r="B4" s="18">
        <v>9</v>
      </c>
    </row>
    <row r="5" spans="1:2" x14ac:dyDescent="0.25">
      <c r="A5" s="19" t="s">
        <v>87</v>
      </c>
      <c r="B5" s="18">
        <v>3</v>
      </c>
    </row>
    <row r="6" spans="1:2" x14ac:dyDescent="0.25">
      <c r="A6" s="19" t="s">
        <v>79</v>
      </c>
      <c r="B6" s="18">
        <v>6</v>
      </c>
    </row>
    <row r="7" spans="1:2" x14ac:dyDescent="0.25">
      <c r="A7" s="19" t="s">
        <v>47</v>
      </c>
      <c r="B7" s="18">
        <v>8</v>
      </c>
    </row>
    <row r="8" spans="1:2" x14ac:dyDescent="0.25">
      <c r="A8" s="19" t="s">
        <v>91</v>
      </c>
      <c r="B8" s="18">
        <v>6</v>
      </c>
    </row>
    <row r="9" spans="1:2" x14ac:dyDescent="0.25">
      <c r="A9" s="19" t="s">
        <v>56</v>
      </c>
      <c r="B9" s="18">
        <v>9</v>
      </c>
    </row>
    <row r="10" spans="1:2" x14ac:dyDescent="0.25">
      <c r="A10" s="19" t="s">
        <v>25</v>
      </c>
      <c r="B10" s="18">
        <v>9</v>
      </c>
    </row>
    <row r="11" spans="1:2" x14ac:dyDescent="0.25">
      <c r="A11" s="19" t="s">
        <v>148</v>
      </c>
      <c r="B11" s="18">
        <v>50</v>
      </c>
    </row>
  </sheetData>
  <mergeCells count="1">
    <mergeCell ref="A1:B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5212-CC08-46D6-AB7E-49C6012E2951}">
  <dimension ref="A1:E13"/>
  <sheetViews>
    <sheetView workbookViewId="0">
      <selection sqref="A1:C1"/>
    </sheetView>
  </sheetViews>
  <sheetFormatPr defaultRowHeight="15" x14ac:dyDescent="0.25"/>
  <cols>
    <col min="1" max="1" width="17.28515625" bestFit="1" customWidth="1"/>
    <col min="2" max="2" width="16.28515625" bestFit="1" customWidth="1"/>
    <col min="3" max="3" width="10.7109375" customWidth="1"/>
    <col min="4" max="4" width="10" bestFit="1" customWidth="1"/>
    <col min="5" max="5" width="11.28515625" bestFit="1" customWidth="1"/>
    <col min="6" max="6" width="9" bestFit="1" customWidth="1"/>
    <col min="7" max="7" width="10" bestFit="1" customWidth="1"/>
    <col min="8" max="8" width="6.5703125" bestFit="1" customWidth="1"/>
    <col min="9" max="10" width="9" bestFit="1" customWidth="1"/>
    <col min="11" max="11" width="8" bestFit="1" customWidth="1"/>
    <col min="12" max="12" width="6.5703125" bestFit="1" customWidth="1"/>
    <col min="13" max="14" width="8" bestFit="1" customWidth="1"/>
    <col min="15" max="16" width="9" bestFit="1" customWidth="1"/>
    <col min="17" max="17" width="10" bestFit="1" customWidth="1"/>
    <col min="18" max="18" width="6" bestFit="1" customWidth="1"/>
    <col min="19" max="20" width="9" bestFit="1" customWidth="1"/>
    <col min="21" max="21" width="8" bestFit="1" customWidth="1"/>
    <col min="22" max="22" width="7" bestFit="1" customWidth="1"/>
    <col min="23" max="24" width="8" bestFit="1" customWidth="1"/>
    <col min="25" max="26" width="9" bestFit="1" customWidth="1"/>
    <col min="27" max="27" width="10" bestFit="1" customWidth="1"/>
    <col min="28" max="28" width="7" bestFit="1" customWidth="1"/>
    <col min="29" max="30" width="9" bestFit="1" customWidth="1"/>
    <col min="31" max="31" width="8" bestFit="1" customWidth="1"/>
    <col min="32" max="32" width="6.28515625" bestFit="1" customWidth="1"/>
    <col min="33" max="34" width="8" bestFit="1" customWidth="1"/>
    <col min="35" max="36" width="9" bestFit="1" customWidth="1"/>
    <col min="37" max="37" width="10" bestFit="1" customWidth="1"/>
    <col min="38" max="38" width="7.28515625" bestFit="1" customWidth="1"/>
    <col min="39" max="40" width="9" bestFit="1" customWidth="1"/>
    <col min="41" max="41" width="8" bestFit="1" customWidth="1"/>
    <col min="42" max="42" width="7.28515625" bestFit="1" customWidth="1"/>
    <col min="43" max="44" width="8" bestFit="1" customWidth="1"/>
    <col min="45" max="46" width="9" bestFit="1" customWidth="1"/>
    <col min="47" max="47" width="10" bestFit="1" customWidth="1"/>
    <col min="48" max="48" width="6" bestFit="1" customWidth="1"/>
    <col min="49" max="50" width="9" bestFit="1" customWidth="1"/>
    <col min="51" max="51" width="8" bestFit="1" customWidth="1"/>
    <col min="52" max="52" width="11.28515625" bestFit="1" customWidth="1"/>
    <col min="53" max="54" width="6.85546875" bestFit="1" customWidth="1"/>
    <col min="55" max="55" width="9" bestFit="1" customWidth="1"/>
    <col min="56" max="56" width="11.28515625" bestFit="1" customWidth="1"/>
  </cols>
  <sheetData>
    <row r="1" spans="1:5" ht="15.75" x14ac:dyDescent="0.25">
      <c r="A1" s="49" t="s">
        <v>193</v>
      </c>
      <c r="B1" s="49"/>
      <c r="C1" s="49"/>
    </row>
    <row r="3" spans="1:5" x14ac:dyDescent="0.25">
      <c r="A3" s="17" t="s">
        <v>149</v>
      </c>
      <c r="B3" s="17" t="s">
        <v>151</v>
      </c>
    </row>
    <row r="4" spans="1:5" x14ac:dyDescent="0.25">
      <c r="B4" t="s">
        <v>191</v>
      </c>
      <c r="D4" s="30" t="s">
        <v>192</v>
      </c>
      <c r="E4" t="s">
        <v>148</v>
      </c>
    </row>
    <row r="5" spans="1:5" x14ac:dyDescent="0.25">
      <c r="A5" s="17" t="s">
        <v>147</v>
      </c>
      <c r="B5" s="2" t="s">
        <v>189</v>
      </c>
      <c r="C5" s="2" t="s">
        <v>190</v>
      </c>
      <c r="D5" s="30"/>
    </row>
    <row r="6" spans="1:5" x14ac:dyDescent="0.25">
      <c r="A6" s="31" t="s">
        <v>82</v>
      </c>
      <c r="B6" s="32">
        <v>376699.88999999996</v>
      </c>
      <c r="C6" s="32">
        <v>214341.69999999998</v>
      </c>
      <c r="D6" s="33">
        <v>591041.59</v>
      </c>
      <c r="E6" s="32">
        <v>591041.59</v>
      </c>
    </row>
    <row r="7" spans="1:5" x14ac:dyDescent="0.25">
      <c r="A7" s="31" t="s">
        <v>87</v>
      </c>
      <c r="B7" s="32">
        <v>184893.6</v>
      </c>
      <c r="C7" s="32">
        <v>246396.48</v>
      </c>
      <c r="D7" s="33">
        <v>431290.08</v>
      </c>
      <c r="E7" s="32">
        <v>431290.08</v>
      </c>
    </row>
    <row r="8" spans="1:5" x14ac:dyDescent="0.25">
      <c r="A8" s="31" t="s">
        <v>79</v>
      </c>
      <c r="B8" s="32">
        <v>489308.22</v>
      </c>
      <c r="C8" s="32">
        <v>16558.16</v>
      </c>
      <c r="D8" s="33">
        <v>505866.37999999995</v>
      </c>
      <c r="E8" s="32">
        <v>505866.37999999995</v>
      </c>
    </row>
    <row r="9" spans="1:5" x14ac:dyDescent="0.25">
      <c r="A9" s="31" t="s">
        <v>47</v>
      </c>
      <c r="B9" s="32">
        <v>272717.69999999995</v>
      </c>
      <c r="C9" s="32"/>
      <c r="D9" s="33">
        <v>272717.69999999995</v>
      </c>
      <c r="E9" s="32">
        <v>272717.69999999995</v>
      </c>
    </row>
    <row r="10" spans="1:5" x14ac:dyDescent="0.25">
      <c r="A10" s="31" t="s">
        <v>91</v>
      </c>
      <c r="B10" s="32">
        <v>173644.3</v>
      </c>
      <c r="C10" s="32">
        <v>62617.14</v>
      </c>
      <c r="D10" s="33">
        <v>236261.44</v>
      </c>
      <c r="E10" s="32">
        <v>236261.44</v>
      </c>
    </row>
    <row r="11" spans="1:5" x14ac:dyDescent="0.25">
      <c r="A11" s="31" t="s">
        <v>56</v>
      </c>
      <c r="B11" s="32">
        <v>653110.68000000005</v>
      </c>
      <c r="C11" s="32"/>
      <c r="D11" s="33">
        <v>653110.68000000005</v>
      </c>
      <c r="E11" s="32">
        <v>653110.68000000005</v>
      </c>
    </row>
    <row r="12" spans="1:5" x14ac:dyDescent="0.25">
      <c r="A12" s="31" t="s">
        <v>25</v>
      </c>
      <c r="B12" s="32">
        <v>730260.53</v>
      </c>
      <c r="C12" s="32"/>
      <c r="D12" s="33">
        <v>730260.53</v>
      </c>
      <c r="E12" s="32">
        <v>730260.53</v>
      </c>
    </row>
    <row r="13" spans="1:5" x14ac:dyDescent="0.25">
      <c r="A13" s="31" t="s">
        <v>148</v>
      </c>
      <c r="B13" s="32">
        <v>2880634.92</v>
      </c>
      <c r="C13" s="32">
        <v>539913.48</v>
      </c>
      <c r="D13" s="33">
        <v>3420548.3999999994</v>
      </c>
      <c r="E13" s="32">
        <v>3420548.3999999994</v>
      </c>
    </row>
  </sheetData>
  <mergeCells count="1">
    <mergeCell ref="A1:C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D324-D2CF-49C3-8089-5B97ADF07D5A}">
  <dimension ref="A1:AD51"/>
  <sheetViews>
    <sheetView topLeftCell="O3" workbookViewId="0">
      <selection activeCell="X2" sqref="X2"/>
    </sheetView>
  </sheetViews>
  <sheetFormatPr defaultRowHeight="15" x14ac:dyDescent="0.25"/>
  <cols>
    <col min="1" max="2" width="10.7109375" customWidth="1"/>
    <col min="3" max="3" width="15.7109375" bestFit="1" customWidth="1"/>
    <col min="4" max="6" width="10.7109375" customWidth="1"/>
    <col min="7" max="7" width="11.85546875" bestFit="1" customWidth="1"/>
    <col min="8" max="8" width="16" bestFit="1" customWidth="1"/>
    <col min="9" max="16" width="10.7109375" customWidth="1"/>
    <col min="17" max="17" width="11" bestFit="1" customWidth="1"/>
    <col min="18" max="18" width="16.42578125" bestFit="1" customWidth="1"/>
    <col min="19" max="20" width="10.7109375" customWidth="1"/>
    <col min="21" max="21" width="16.5703125" bestFit="1" customWidth="1"/>
    <col min="22" max="22" width="13.42578125" bestFit="1" customWidth="1"/>
    <col min="23" max="23" width="10.7109375" customWidth="1"/>
  </cols>
  <sheetData>
    <row r="1" spans="1:3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9" t="s">
        <v>194</v>
      </c>
      <c r="Y1" s="49"/>
      <c r="Z1" s="49"/>
      <c r="AA1" s="49"/>
      <c r="AB1" s="49"/>
      <c r="AC1" s="49"/>
      <c r="AD1" s="49"/>
    </row>
    <row r="2" spans="1:30" x14ac:dyDescent="0.25">
      <c r="A2" s="3" t="s">
        <v>23</v>
      </c>
      <c r="B2" s="3">
        <v>101</v>
      </c>
      <c r="C2" s="3" t="s">
        <v>24</v>
      </c>
      <c r="D2" s="3" t="s">
        <v>25</v>
      </c>
      <c r="E2" s="3" t="s">
        <v>26</v>
      </c>
      <c r="F2" s="3" t="s">
        <v>27</v>
      </c>
      <c r="G2" s="4">
        <v>45662</v>
      </c>
      <c r="H2" s="3">
        <v>25</v>
      </c>
      <c r="I2" s="3" t="s">
        <v>28</v>
      </c>
      <c r="J2" s="3" t="s">
        <v>29</v>
      </c>
      <c r="K2" s="3" t="s">
        <v>30</v>
      </c>
      <c r="L2" s="3" t="s">
        <v>31</v>
      </c>
      <c r="M2" s="4">
        <v>46027</v>
      </c>
      <c r="N2" s="3">
        <v>1</v>
      </c>
      <c r="O2" s="5">
        <v>69999</v>
      </c>
      <c r="P2" s="3">
        <v>0</v>
      </c>
      <c r="Q2" s="5">
        <v>69999</v>
      </c>
      <c r="R2" s="5">
        <v>0</v>
      </c>
      <c r="S2" s="5">
        <v>69999</v>
      </c>
      <c r="T2" s="5">
        <v>6999.9000000000005</v>
      </c>
      <c r="U2" s="3" t="s">
        <v>32</v>
      </c>
      <c r="V2" s="3" t="s">
        <v>33</v>
      </c>
      <c r="W2" s="3" t="s">
        <v>34</v>
      </c>
      <c r="X2" s="3">
        <f>SUMIF(V2:V51,"Store",S2:S51)</f>
        <v>1261144.9600000002</v>
      </c>
      <c r="Y2" s="50" t="s">
        <v>195</v>
      </c>
      <c r="Z2" s="51"/>
      <c r="AA2" s="51"/>
      <c r="AB2" s="51"/>
      <c r="AC2" s="51"/>
      <c r="AD2" s="52"/>
    </row>
    <row r="3" spans="1:30" x14ac:dyDescent="0.25">
      <c r="A3" s="3" t="s">
        <v>35</v>
      </c>
      <c r="B3" s="3">
        <v>102</v>
      </c>
      <c r="C3" s="3" t="s">
        <v>36</v>
      </c>
      <c r="D3" s="3" t="s">
        <v>25</v>
      </c>
      <c r="E3" s="3" t="s">
        <v>37</v>
      </c>
      <c r="F3" s="3" t="s">
        <v>38</v>
      </c>
      <c r="G3" s="4">
        <v>45665</v>
      </c>
      <c r="H3" s="3">
        <v>24</v>
      </c>
      <c r="I3" s="3" t="s">
        <v>39</v>
      </c>
      <c r="J3" s="3" t="s">
        <v>40</v>
      </c>
      <c r="K3" s="3" t="s">
        <v>41</v>
      </c>
      <c r="L3" s="3" t="s">
        <v>31</v>
      </c>
      <c r="M3" s="4">
        <v>46029</v>
      </c>
      <c r="N3" s="3">
        <v>2</v>
      </c>
      <c r="O3" s="5">
        <v>30999</v>
      </c>
      <c r="P3" s="3">
        <v>5</v>
      </c>
      <c r="Q3" s="5">
        <v>61998</v>
      </c>
      <c r="R3" s="5">
        <v>3099.9</v>
      </c>
      <c r="S3" s="5">
        <v>58898.1</v>
      </c>
      <c r="T3" s="5">
        <v>11779.62</v>
      </c>
      <c r="U3" s="3" t="s">
        <v>42</v>
      </c>
      <c r="V3" s="3" t="s">
        <v>43</v>
      </c>
      <c r="W3" s="3" t="s">
        <v>44</v>
      </c>
      <c r="X3" s="3">
        <f>SUMIF(V2:V51,"Online",S2:S51)</f>
        <v>980528.28</v>
      </c>
      <c r="Y3" s="50" t="s">
        <v>197</v>
      </c>
      <c r="Z3" s="51"/>
      <c r="AA3" s="51"/>
      <c r="AB3" s="51"/>
      <c r="AC3" s="51"/>
      <c r="AD3" s="52"/>
    </row>
    <row r="4" spans="1:30" x14ac:dyDescent="0.25">
      <c r="A4" s="3" t="s">
        <v>45</v>
      </c>
      <c r="B4" s="3">
        <v>103</v>
      </c>
      <c r="C4" s="3" t="s">
        <v>46</v>
      </c>
      <c r="D4" s="3" t="s">
        <v>47</v>
      </c>
      <c r="E4" s="3" t="s">
        <v>26</v>
      </c>
      <c r="F4" s="3" t="s">
        <v>38</v>
      </c>
      <c r="G4" s="4">
        <v>45669</v>
      </c>
      <c r="H4" s="3">
        <v>23</v>
      </c>
      <c r="I4" s="3" t="s">
        <v>48</v>
      </c>
      <c r="J4" s="3" t="s">
        <v>49</v>
      </c>
      <c r="K4" s="3" t="s">
        <v>50</v>
      </c>
      <c r="L4" s="3" t="s">
        <v>31</v>
      </c>
      <c r="M4" s="4">
        <v>46031</v>
      </c>
      <c r="N4" s="3">
        <v>1</v>
      </c>
      <c r="O4" s="5">
        <v>16999</v>
      </c>
      <c r="P4" s="3">
        <v>10</v>
      </c>
      <c r="Q4" s="5">
        <v>16999</v>
      </c>
      <c r="R4" s="5">
        <v>1699.9</v>
      </c>
      <c r="S4" s="5">
        <v>15299.1</v>
      </c>
      <c r="T4" s="5">
        <v>3824.7750000000001</v>
      </c>
      <c r="U4" s="3" t="s">
        <v>51</v>
      </c>
      <c r="V4" s="3" t="s">
        <v>52</v>
      </c>
      <c r="W4" s="3" t="s">
        <v>53</v>
      </c>
      <c r="X4" s="3">
        <f>SUMIF(V2:V51,"Phone",S2:S51)</f>
        <v>1178875.1599999999</v>
      </c>
      <c r="Y4" s="50" t="s">
        <v>196</v>
      </c>
      <c r="Z4" s="51"/>
      <c r="AA4" s="51"/>
      <c r="AB4" s="51"/>
      <c r="AC4" s="51"/>
      <c r="AD4" s="52"/>
    </row>
    <row r="5" spans="1:30" x14ac:dyDescent="0.25">
      <c r="A5" s="3" t="s">
        <v>54</v>
      </c>
      <c r="B5" s="3">
        <v>104</v>
      </c>
      <c r="C5" s="3" t="s">
        <v>55</v>
      </c>
      <c r="D5" s="3" t="s">
        <v>56</v>
      </c>
      <c r="E5" s="3" t="s">
        <v>26</v>
      </c>
      <c r="F5" s="3" t="s">
        <v>38</v>
      </c>
      <c r="G5" s="4">
        <v>45672</v>
      </c>
      <c r="H5" s="3">
        <v>26</v>
      </c>
      <c r="I5" s="3" t="s">
        <v>57</v>
      </c>
      <c r="J5" s="3" t="s">
        <v>58</v>
      </c>
      <c r="K5" s="3" t="s">
        <v>59</v>
      </c>
      <c r="L5" s="3" t="s">
        <v>31</v>
      </c>
      <c r="M5" s="4">
        <v>46033</v>
      </c>
      <c r="N5" s="3">
        <v>3</v>
      </c>
      <c r="O5" s="5">
        <v>27999</v>
      </c>
      <c r="P5" s="3">
        <v>5</v>
      </c>
      <c r="Q5" s="5">
        <v>83997</v>
      </c>
      <c r="R5" s="5">
        <v>4199.8500000000004</v>
      </c>
      <c r="S5" s="5">
        <v>79797.149999999994</v>
      </c>
      <c r="T5" s="5">
        <v>23939.145</v>
      </c>
      <c r="U5" s="3" t="s">
        <v>60</v>
      </c>
      <c r="V5" s="3" t="s">
        <v>33</v>
      </c>
      <c r="W5" s="3" t="s">
        <v>61</v>
      </c>
    </row>
    <row r="6" spans="1:30" x14ac:dyDescent="0.25">
      <c r="A6" s="3" t="s">
        <v>62</v>
      </c>
      <c r="B6" s="3">
        <v>105</v>
      </c>
      <c r="C6" s="3" t="s">
        <v>63</v>
      </c>
      <c r="D6" s="3" t="s">
        <v>56</v>
      </c>
      <c r="E6" s="3" t="s">
        <v>64</v>
      </c>
      <c r="F6" s="3" t="s">
        <v>38</v>
      </c>
      <c r="G6" s="4">
        <v>45677</v>
      </c>
      <c r="H6" s="3">
        <v>22</v>
      </c>
      <c r="I6" s="3" t="s">
        <v>65</v>
      </c>
      <c r="J6" s="3" t="s">
        <v>66</v>
      </c>
      <c r="K6" s="3" t="s">
        <v>41</v>
      </c>
      <c r="L6" s="3" t="s">
        <v>67</v>
      </c>
      <c r="M6" s="4">
        <v>46035</v>
      </c>
      <c r="N6" s="3">
        <v>2</v>
      </c>
      <c r="O6" s="5">
        <v>8999</v>
      </c>
      <c r="P6" s="3">
        <v>8</v>
      </c>
      <c r="Q6" s="5">
        <v>17998</v>
      </c>
      <c r="R6" s="5">
        <v>1439.84</v>
      </c>
      <c r="S6" s="5">
        <v>16558.16</v>
      </c>
      <c r="T6" s="5">
        <v>1655.816</v>
      </c>
      <c r="U6" s="3" t="s">
        <v>68</v>
      </c>
      <c r="V6" s="3" t="s">
        <v>43</v>
      </c>
      <c r="W6" s="3" t="s">
        <v>69</v>
      </c>
    </row>
    <row r="7" spans="1:30" x14ac:dyDescent="0.25">
      <c r="A7" s="3" t="s">
        <v>70</v>
      </c>
      <c r="B7" s="3">
        <v>106</v>
      </c>
      <c r="C7" s="3" t="s">
        <v>71</v>
      </c>
      <c r="D7" s="3" t="s">
        <v>56</v>
      </c>
      <c r="E7" s="3" t="s">
        <v>26</v>
      </c>
      <c r="F7" s="3" t="s">
        <v>38</v>
      </c>
      <c r="G7" s="4">
        <v>45679</v>
      </c>
      <c r="H7" s="3">
        <v>24</v>
      </c>
      <c r="I7" s="3" t="s">
        <v>28</v>
      </c>
      <c r="J7" s="3" t="s">
        <v>29</v>
      </c>
      <c r="K7" s="3" t="s">
        <v>30</v>
      </c>
      <c r="L7" s="3" t="s">
        <v>31</v>
      </c>
      <c r="M7" s="4">
        <v>46037</v>
      </c>
      <c r="N7" s="3">
        <v>4</v>
      </c>
      <c r="O7" s="5">
        <v>69999</v>
      </c>
      <c r="P7" s="3">
        <v>12</v>
      </c>
      <c r="Q7" s="5">
        <v>279996</v>
      </c>
      <c r="R7" s="5">
        <v>33599.519999999997</v>
      </c>
      <c r="S7" s="5">
        <v>246396.48</v>
      </c>
      <c r="T7" s="5">
        <v>49279.296000000002</v>
      </c>
      <c r="U7" s="3" t="s">
        <v>32</v>
      </c>
      <c r="V7" s="3" t="s">
        <v>52</v>
      </c>
      <c r="W7" s="3" t="s">
        <v>72</v>
      </c>
    </row>
    <row r="8" spans="1:30" x14ac:dyDescent="0.25">
      <c r="A8" s="3" t="s">
        <v>73</v>
      </c>
      <c r="B8" s="3">
        <v>107</v>
      </c>
      <c r="C8" s="3" t="s">
        <v>74</v>
      </c>
      <c r="D8" s="3" t="s">
        <v>25</v>
      </c>
      <c r="E8" s="3" t="s">
        <v>26</v>
      </c>
      <c r="F8" s="3" t="s">
        <v>27</v>
      </c>
      <c r="G8" s="4">
        <v>45682</v>
      </c>
      <c r="H8" s="3">
        <v>27</v>
      </c>
      <c r="I8" s="3" t="s">
        <v>39</v>
      </c>
      <c r="J8" s="3" t="s">
        <v>40</v>
      </c>
      <c r="K8" s="3" t="s">
        <v>41</v>
      </c>
      <c r="L8" s="3" t="s">
        <v>31</v>
      </c>
      <c r="M8" s="4">
        <v>46039</v>
      </c>
      <c r="N8" s="3">
        <v>1</v>
      </c>
      <c r="O8" s="5">
        <v>30999</v>
      </c>
      <c r="P8" s="3">
        <v>0</v>
      </c>
      <c r="Q8" s="5">
        <v>30999</v>
      </c>
      <c r="R8" s="5">
        <v>0</v>
      </c>
      <c r="S8" s="5">
        <v>30999</v>
      </c>
      <c r="T8" s="5">
        <v>7749.75</v>
      </c>
      <c r="U8" s="3" t="s">
        <v>42</v>
      </c>
      <c r="V8" s="3" t="s">
        <v>33</v>
      </c>
      <c r="W8" s="3" t="s">
        <v>34</v>
      </c>
    </row>
    <row r="9" spans="1:30" x14ac:dyDescent="0.25">
      <c r="A9" s="3" t="s">
        <v>75</v>
      </c>
      <c r="B9" s="3">
        <v>108</v>
      </c>
      <c r="C9" s="3" t="s">
        <v>76</v>
      </c>
      <c r="D9" s="3" t="s">
        <v>47</v>
      </c>
      <c r="E9" s="3" t="s">
        <v>37</v>
      </c>
      <c r="F9" s="3" t="s">
        <v>27</v>
      </c>
      <c r="G9" s="4">
        <v>45685</v>
      </c>
      <c r="H9" s="3">
        <v>21</v>
      </c>
      <c r="I9" s="3" t="s">
        <v>48</v>
      </c>
      <c r="J9" s="3" t="s">
        <v>49</v>
      </c>
      <c r="K9" s="3" t="s">
        <v>50</v>
      </c>
      <c r="L9" s="3" t="s">
        <v>31</v>
      </c>
      <c r="M9" s="4">
        <v>46041</v>
      </c>
      <c r="N9" s="3">
        <v>2</v>
      </c>
      <c r="O9" s="5">
        <v>16999</v>
      </c>
      <c r="P9" s="3">
        <v>7</v>
      </c>
      <c r="Q9" s="5">
        <v>33998</v>
      </c>
      <c r="R9" s="5">
        <v>2379.86</v>
      </c>
      <c r="S9" s="5">
        <v>31618.14</v>
      </c>
      <c r="T9" s="5">
        <v>9485.4419999999991</v>
      </c>
      <c r="U9" s="3" t="s">
        <v>51</v>
      </c>
      <c r="V9" s="3" t="s">
        <v>43</v>
      </c>
      <c r="W9" s="3" t="s">
        <v>44</v>
      </c>
    </row>
    <row r="10" spans="1:30" x14ac:dyDescent="0.25">
      <c r="A10" s="3" t="s">
        <v>77</v>
      </c>
      <c r="B10" s="3">
        <v>109</v>
      </c>
      <c r="C10" s="3" t="s">
        <v>78</v>
      </c>
      <c r="D10" s="3" t="s">
        <v>79</v>
      </c>
      <c r="E10" s="3" t="s">
        <v>64</v>
      </c>
      <c r="F10" s="3" t="s">
        <v>27</v>
      </c>
      <c r="G10" s="4">
        <v>45690</v>
      </c>
      <c r="H10" s="3">
        <v>26</v>
      </c>
      <c r="I10" s="3" t="s">
        <v>57</v>
      </c>
      <c r="J10" s="3" t="s">
        <v>58</v>
      </c>
      <c r="K10" s="3" t="s">
        <v>59</v>
      </c>
      <c r="L10" s="3" t="s">
        <v>31</v>
      </c>
      <c r="M10" s="4">
        <v>46043</v>
      </c>
      <c r="N10" s="3">
        <v>5</v>
      </c>
      <c r="O10" s="5">
        <v>27999</v>
      </c>
      <c r="P10" s="3">
        <v>10</v>
      </c>
      <c r="Q10" s="5">
        <v>139995</v>
      </c>
      <c r="R10" s="5">
        <v>13999.5</v>
      </c>
      <c r="S10" s="5">
        <v>125995.5</v>
      </c>
      <c r="T10" s="5">
        <v>12599.55</v>
      </c>
      <c r="U10" s="3" t="s">
        <v>60</v>
      </c>
      <c r="V10" s="3" t="s">
        <v>52</v>
      </c>
      <c r="W10" s="3" t="s">
        <v>53</v>
      </c>
    </row>
    <row r="11" spans="1:30" x14ac:dyDescent="0.25">
      <c r="A11" s="3" t="s">
        <v>80</v>
      </c>
      <c r="B11" s="3">
        <v>110</v>
      </c>
      <c r="C11" s="3" t="s">
        <v>81</v>
      </c>
      <c r="D11" s="3" t="s">
        <v>82</v>
      </c>
      <c r="E11" s="3" t="s">
        <v>26</v>
      </c>
      <c r="F11" s="3" t="s">
        <v>38</v>
      </c>
      <c r="G11" s="4">
        <v>45693</v>
      </c>
      <c r="H11" s="3">
        <v>25</v>
      </c>
      <c r="I11" s="3" t="s">
        <v>65</v>
      </c>
      <c r="J11" s="3" t="s">
        <v>66</v>
      </c>
      <c r="K11" s="3" t="s">
        <v>41</v>
      </c>
      <c r="L11" s="3" t="s">
        <v>67</v>
      </c>
      <c r="M11" s="4">
        <v>46045</v>
      </c>
      <c r="N11" s="3">
        <v>1</v>
      </c>
      <c r="O11" s="5">
        <v>8999</v>
      </c>
      <c r="P11" s="3">
        <v>5</v>
      </c>
      <c r="Q11" s="5">
        <v>8999</v>
      </c>
      <c r="R11" s="5">
        <v>449.95</v>
      </c>
      <c r="S11" s="5">
        <v>8549.0499999999993</v>
      </c>
      <c r="T11" s="5">
        <v>1709.81</v>
      </c>
      <c r="U11" s="3" t="s">
        <v>68</v>
      </c>
      <c r="V11" s="3" t="s">
        <v>33</v>
      </c>
      <c r="W11" s="3" t="s">
        <v>61</v>
      </c>
    </row>
    <row r="12" spans="1:30" x14ac:dyDescent="0.25">
      <c r="A12" s="3" t="s">
        <v>83</v>
      </c>
      <c r="B12" s="3">
        <v>111</v>
      </c>
      <c r="C12" s="3" t="s">
        <v>84</v>
      </c>
      <c r="D12" s="3" t="s">
        <v>79</v>
      </c>
      <c r="E12" s="3" t="s">
        <v>37</v>
      </c>
      <c r="F12" s="3" t="s">
        <v>38</v>
      </c>
      <c r="G12" s="4">
        <v>45696</v>
      </c>
      <c r="H12" s="3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4">
        <v>46047</v>
      </c>
      <c r="N12" s="3">
        <v>1</v>
      </c>
      <c r="O12" s="5">
        <v>69999</v>
      </c>
      <c r="P12" s="3">
        <v>0</v>
      </c>
      <c r="Q12" s="5">
        <v>69999</v>
      </c>
      <c r="R12" s="5">
        <v>0</v>
      </c>
      <c r="S12" s="5">
        <v>69999</v>
      </c>
      <c r="T12" s="5">
        <v>17499.75</v>
      </c>
      <c r="U12" s="3" t="s">
        <v>32</v>
      </c>
      <c r="V12" s="3" t="s">
        <v>43</v>
      </c>
      <c r="W12" s="3" t="s">
        <v>69</v>
      </c>
    </row>
    <row r="13" spans="1:30" x14ac:dyDescent="0.25">
      <c r="A13" s="3" t="s">
        <v>85</v>
      </c>
      <c r="B13" s="3">
        <v>112</v>
      </c>
      <c r="C13" s="3" t="s">
        <v>86</v>
      </c>
      <c r="D13" s="3" t="s">
        <v>87</v>
      </c>
      <c r="E13" s="3" t="s">
        <v>88</v>
      </c>
      <c r="F13" s="3" t="s">
        <v>38</v>
      </c>
      <c r="G13" s="4">
        <v>45700</v>
      </c>
      <c r="H13" s="3">
        <v>28</v>
      </c>
      <c r="I13" s="3" t="s">
        <v>39</v>
      </c>
      <c r="J13" s="3" t="s">
        <v>40</v>
      </c>
      <c r="K13" s="3" t="s">
        <v>41</v>
      </c>
      <c r="L13" s="3" t="s">
        <v>31</v>
      </c>
      <c r="M13" s="4">
        <v>46049</v>
      </c>
      <c r="N13" s="3">
        <v>2</v>
      </c>
      <c r="O13" s="5">
        <v>30999</v>
      </c>
      <c r="P13" s="3">
        <v>5</v>
      </c>
      <c r="Q13" s="5">
        <v>61998</v>
      </c>
      <c r="R13" s="5">
        <v>3099.9</v>
      </c>
      <c r="S13" s="5">
        <v>58898.1</v>
      </c>
      <c r="T13" s="5">
        <v>17669.43</v>
      </c>
      <c r="U13" s="3" t="s">
        <v>42</v>
      </c>
      <c r="V13" s="3" t="s">
        <v>52</v>
      </c>
      <c r="W13" s="3" t="s">
        <v>72</v>
      </c>
    </row>
    <row r="14" spans="1:30" x14ac:dyDescent="0.25">
      <c r="A14" s="3" t="s">
        <v>89</v>
      </c>
      <c r="B14" s="3">
        <v>113</v>
      </c>
      <c r="C14" s="3" t="s">
        <v>90</v>
      </c>
      <c r="D14" s="3" t="s">
        <v>91</v>
      </c>
      <c r="E14" s="3" t="s">
        <v>26</v>
      </c>
      <c r="F14" s="3" t="s">
        <v>38</v>
      </c>
      <c r="G14" s="4">
        <v>45703</v>
      </c>
      <c r="H14" s="3">
        <v>20</v>
      </c>
      <c r="I14" s="3" t="s">
        <v>48</v>
      </c>
      <c r="J14" s="3" t="s">
        <v>49</v>
      </c>
      <c r="K14" s="3" t="s">
        <v>50</v>
      </c>
      <c r="L14" s="3" t="s">
        <v>31</v>
      </c>
      <c r="M14" s="4">
        <v>46051</v>
      </c>
      <c r="N14" s="3">
        <v>1</v>
      </c>
      <c r="O14" s="5">
        <v>16999</v>
      </c>
      <c r="P14" s="3">
        <v>10</v>
      </c>
      <c r="Q14" s="5">
        <v>16999</v>
      </c>
      <c r="R14" s="5">
        <v>1699.9</v>
      </c>
      <c r="S14" s="5">
        <v>15299.1</v>
      </c>
      <c r="T14" s="5">
        <v>1529.91</v>
      </c>
      <c r="U14" s="3" t="s">
        <v>51</v>
      </c>
      <c r="V14" s="3" t="s">
        <v>33</v>
      </c>
      <c r="W14" s="3" t="s">
        <v>34</v>
      </c>
    </row>
    <row r="15" spans="1:30" x14ac:dyDescent="0.25">
      <c r="A15" s="3" t="s">
        <v>92</v>
      </c>
      <c r="B15" s="3">
        <v>114</v>
      </c>
      <c r="C15" s="3" t="s">
        <v>93</v>
      </c>
      <c r="D15" s="3" t="s">
        <v>91</v>
      </c>
      <c r="E15" s="3" t="s">
        <v>26</v>
      </c>
      <c r="F15" s="3" t="s">
        <v>38</v>
      </c>
      <c r="G15" s="4">
        <v>45706</v>
      </c>
      <c r="H15" s="3">
        <v>22</v>
      </c>
      <c r="I15" s="3" t="s">
        <v>57</v>
      </c>
      <c r="J15" s="3" t="s">
        <v>58</v>
      </c>
      <c r="K15" s="3" t="s">
        <v>59</v>
      </c>
      <c r="L15" s="3" t="s">
        <v>31</v>
      </c>
      <c r="M15" s="4">
        <v>46053</v>
      </c>
      <c r="N15" s="3">
        <v>3</v>
      </c>
      <c r="O15" s="5">
        <v>27999</v>
      </c>
      <c r="P15" s="3">
        <v>5</v>
      </c>
      <c r="Q15" s="5">
        <v>83997</v>
      </c>
      <c r="R15" s="5">
        <v>4199.8500000000004</v>
      </c>
      <c r="S15" s="5">
        <v>79797.149999999994</v>
      </c>
      <c r="T15" s="5">
        <v>15959.43</v>
      </c>
      <c r="U15" s="3" t="s">
        <v>60</v>
      </c>
      <c r="V15" s="3" t="s">
        <v>43</v>
      </c>
      <c r="W15" s="3" t="s">
        <v>44</v>
      </c>
    </row>
    <row r="16" spans="1:30" x14ac:dyDescent="0.25">
      <c r="A16" s="3" t="s">
        <v>94</v>
      </c>
      <c r="B16" s="3">
        <v>115</v>
      </c>
      <c r="C16" s="3" t="s">
        <v>95</v>
      </c>
      <c r="D16" s="3" t="s">
        <v>82</v>
      </c>
      <c r="E16" s="3" t="s">
        <v>37</v>
      </c>
      <c r="F16" s="3" t="s">
        <v>27</v>
      </c>
      <c r="G16" s="4">
        <v>45708</v>
      </c>
      <c r="H16" s="3">
        <v>24</v>
      </c>
      <c r="I16" s="3" t="s">
        <v>65</v>
      </c>
      <c r="J16" s="3" t="s">
        <v>66</v>
      </c>
      <c r="K16" s="3" t="s">
        <v>41</v>
      </c>
      <c r="L16" s="3" t="s">
        <v>67</v>
      </c>
      <c r="M16" s="4">
        <v>46055</v>
      </c>
      <c r="N16" s="3">
        <v>2</v>
      </c>
      <c r="O16" s="5">
        <v>8999</v>
      </c>
      <c r="P16" s="3">
        <v>8</v>
      </c>
      <c r="Q16" s="5">
        <v>17998</v>
      </c>
      <c r="R16" s="5">
        <v>1439.84</v>
      </c>
      <c r="S16" s="5">
        <v>16558.16</v>
      </c>
      <c r="T16" s="5">
        <v>4139.54</v>
      </c>
      <c r="U16" s="3" t="s">
        <v>68</v>
      </c>
      <c r="V16" s="3" t="s">
        <v>52</v>
      </c>
      <c r="W16" s="3" t="s">
        <v>53</v>
      </c>
    </row>
    <row r="17" spans="1:23" x14ac:dyDescent="0.25">
      <c r="A17" s="3" t="s">
        <v>96</v>
      </c>
      <c r="B17" s="3">
        <v>116</v>
      </c>
      <c r="C17" s="3" t="s">
        <v>97</v>
      </c>
      <c r="D17" s="3" t="s">
        <v>82</v>
      </c>
      <c r="E17" s="3" t="s">
        <v>64</v>
      </c>
      <c r="F17" s="3" t="s">
        <v>27</v>
      </c>
      <c r="G17" s="4">
        <v>45710</v>
      </c>
      <c r="H17" s="3">
        <v>23</v>
      </c>
      <c r="I17" s="3" t="s">
        <v>28</v>
      </c>
      <c r="J17" s="3" t="s">
        <v>29</v>
      </c>
      <c r="K17" s="3" t="s">
        <v>30</v>
      </c>
      <c r="L17" s="3" t="s">
        <v>31</v>
      </c>
      <c r="M17" s="4">
        <v>46057</v>
      </c>
      <c r="N17" s="3">
        <v>4</v>
      </c>
      <c r="O17" s="5">
        <v>69999</v>
      </c>
      <c r="P17" s="3">
        <v>12</v>
      </c>
      <c r="Q17" s="5">
        <v>279996</v>
      </c>
      <c r="R17" s="5">
        <v>33599.519999999997</v>
      </c>
      <c r="S17" s="5">
        <v>246396.48</v>
      </c>
      <c r="T17" s="5">
        <v>73918.944000000003</v>
      </c>
      <c r="U17" s="3" t="s">
        <v>32</v>
      </c>
      <c r="V17" s="3" t="s">
        <v>33</v>
      </c>
      <c r="W17" s="3" t="s">
        <v>61</v>
      </c>
    </row>
    <row r="18" spans="1:23" x14ac:dyDescent="0.25">
      <c r="A18" s="3" t="s">
        <v>98</v>
      </c>
      <c r="B18" s="3">
        <v>117</v>
      </c>
      <c r="C18" s="3" t="s">
        <v>99</v>
      </c>
      <c r="D18" s="3" t="s">
        <v>47</v>
      </c>
      <c r="E18" s="3" t="s">
        <v>26</v>
      </c>
      <c r="F18" s="3" t="s">
        <v>38</v>
      </c>
      <c r="G18" s="4">
        <v>45713</v>
      </c>
      <c r="H18" s="3">
        <v>26</v>
      </c>
      <c r="I18" s="3" t="s">
        <v>39</v>
      </c>
      <c r="J18" s="3" t="s">
        <v>40</v>
      </c>
      <c r="K18" s="3" t="s">
        <v>41</v>
      </c>
      <c r="L18" s="3" t="s">
        <v>31</v>
      </c>
      <c r="M18" s="4">
        <v>46059</v>
      </c>
      <c r="N18" s="3">
        <v>1</v>
      </c>
      <c r="O18" s="5">
        <v>30999</v>
      </c>
      <c r="P18" s="3">
        <v>0</v>
      </c>
      <c r="Q18" s="5">
        <v>30999</v>
      </c>
      <c r="R18" s="5">
        <v>0</v>
      </c>
      <c r="S18" s="5">
        <v>30999</v>
      </c>
      <c r="T18" s="5">
        <v>3099.9</v>
      </c>
      <c r="U18" s="3" t="s">
        <v>42</v>
      </c>
      <c r="V18" s="3" t="s">
        <v>43</v>
      </c>
      <c r="W18" s="3" t="s">
        <v>69</v>
      </c>
    </row>
    <row r="19" spans="1:23" x14ac:dyDescent="0.25">
      <c r="A19" s="3" t="s">
        <v>100</v>
      </c>
      <c r="B19" s="3">
        <v>101</v>
      </c>
      <c r="C19" s="3" t="s">
        <v>24</v>
      </c>
      <c r="D19" s="3" t="s">
        <v>25</v>
      </c>
      <c r="E19" s="3" t="s">
        <v>26</v>
      </c>
      <c r="F19" s="3" t="s">
        <v>27</v>
      </c>
      <c r="G19" s="4">
        <v>45662</v>
      </c>
      <c r="H19" s="3">
        <v>25</v>
      </c>
      <c r="I19" s="3" t="s">
        <v>48</v>
      </c>
      <c r="J19" s="3" t="s">
        <v>49</v>
      </c>
      <c r="K19" s="3" t="s">
        <v>50</v>
      </c>
      <c r="L19" s="3" t="s">
        <v>31</v>
      </c>
      <c r="M19" s="4">
        <v>46061</v>
      </c>
      <c r="N19" s="3">
        <v>2</v>
      </c>
      <c r="O19" s="5">
        <v>16999</v>
      </c>
      <c r="P19" s="3">
        <v>7</v>
      </c>
      <c r="Q19" s="5">
        <v>33998</v>
      </c>
      <c r="R19" s="5">
        <v>2379.86</v>
      </c>
      <c r="S19" s="5">
        <v>31618.14</v>
      </c>
      <c r="T19" s="5">
        <v>6323.6280000000006</v>
      </c>
      <c r="U19" s="3" t="s">
        <v>51</v>
      </c>
      <c r="V19" s="3" t="s">
        <v>52</v>
      </c>
      <c r="W19" s="3" t="s">
        <v>72</v>
      </c>
    </row>
    <row r="20" spans="1:23" x14ac:dyDescent="0.25">
      <c r="A20" s="3" t="s">
        <v>101</v>
      </c>
      <c r="B20" s="3">
        <v>102</v>
      </c>
      <c r="C20" s="3" t="s">
        <v>36</v>
      </c>
      <c r="D20" s="3" t="s">
        <v>25</v>
      </c>
      <c r="E20" s="3" t="s">
        <v>37</v>
      </c>
      <c r="F20" s="3" t="s">
        <v>38</v>
      </c>
      <c r="G20" s="4">
        <v>45665</v>
      </c>
      <c r="H20" s="3">
        <v>24</v>
      </c>
      <c r="I20" s="3" t="s">
        <v>57</v>
      </c>
      <c r="J20" s="3" t="s">
        <v>58</v>
      </c>
      <c r="K20" s="3" t="s">
        <v>59</v>
      </c>
      <c r="L20" s="3" t="s">
        <v>31</v>
      </c>
      <c r="M20" s="4">
        <v>46063</v>
      </c>
      <c r="N20" s="3">
        <v>5</v>
      </c>
      <c r="O20" s="5">
        <v>27999</v>
      </c>
      <c r="P20" s="3">
        <v>10</v>
      </c>
      <c r="Q20" s="5">
        <v>139995</v>
      </c>
      <c r="R20" s="5">
        <v>13999.5</v>
      </c>
      <c r="S20" s="5">
        <v>125995.5</v>
      </c>
      <c r="T20" s="5">
        <v>31498.875</v>
      </c>
      <c r="U20" s="3" t="s">
        <v>60</v>
      </c>
      <c r="V20" s="3" t="s">
        <v>33</v>
      </c>
      <c r="W20" s="3" t="s">
        <v>34</v>
      </c>
    </row>
    <row r="21" spans="1:23" x14ac:dyDescent="0.25">
      <c r="A21" s="3" t="s">
        <v>102</v>
      </c>
      <c r="B21" s="3">
        <v>103</v>
      </c>
      <c r="C21" s="3" t="s">
        <v>46</v>
      </c>
      <c r="D21" s="3" t="s">
        <v>47</v>
      </c>
      <c r="E21" s="3" t="s">
        <v>26</v>
      </c>
      <c r="F21" s="3" t="s">
        <v>38</v>
      </c>
      <c r="G21" s="4">
        <v>45669</v>
      </c>
      <c r="H21" s="3">
        <v>23</v>
      </c>
      <c r="I21" s="3" t="s">
        <v>65</v>
      </c>
      <c r="J21" s="3" t="s">
        <v>66</v>
      </c>
      <c r="K21" s="3" t="s">
        <v>41</v>
      </c>
      <c r="L21" s="3" t="s">
        <v>67</v>
      </c>
      <c r="M21" s="4">
        <v>46065</v>
      </c>
      <c r="N21" s="3">
        <v>1</v>
      </c>
      <c r="O21" s="5">
        <v>8999</v>
      </c>
      <c r="P21" s="3">
        <v>5</v>
      </c>
      <c r="Q21" s="5">
        <v>8999</v>
      </c>
      <c r="R21" s="5">
        <v>449.95</v>
      </c>
      <c r="S21" s="5">
        <v>8549.0499999999993</v>
      </c>
      <c r="T21" s="5">
        <v>2564.7150000000001</v>
      </c>
      <c r="U21" s="3" t="s">
        <v>68</v>
      </c>
      <c r="V21" s="3" t="s">
        <v>43</v>
      </c>
      <c r="W21" s="3" t="s">
        <v>44</v>
      </c>
    </row>
    <row r="22" spans="1:23" x14ac:dyDescent="0.25">
      <c r="A22" s="3" t="s">
        <v>103</v>
      </c>
      <c r="B22" s="3">
        <v>104</v>
      </c>
      <c r="C22" s="3" t="s">
        <v>55</v>
      </c>
      <c r="D22" s="3" t="s">
        <v>56</v>
      </c>
      <c r="E22" s="3" t="s">
        <v>26</v>
      </c>
      <c r="F22" s="3" t="s">
        <v>38</v>
      </c>
      <c r="G22" s="4">
        <v>45672</v>
      </c>
      <c r="H22" s="3">
        <v>26</v>
      </c>
      <c r="I22" s="3" t="s">
        <v>28</v>
      </c>
      <c r="J22" s="3" t="s">
        <v>29</v>
      </c>
      <c r="K22" s="3" t="s">
        <v>30</v>
      </c>
      <c r="L22" s="3" t="s">
        <v>31</v>
      </c>
      <c r="M22" s="4">
        <v>46067</v>
      </c>
      <c r="N22" s="3">
        <v>1</v>
      </c>
      <c r="O22" s="5">
        <v>69999</v>
      </c>
      <c r="P22" s="3">
        <v>0</v>
      </c>
      <c r="Q22" s="5">
        <v>69999</v>
      </c>
      <c r="R22" s="5">
        <v>0</v>
      </c>
      <c r="S22" s="5">
        <v>69999</v>
      </c>
      <c r="T22" s="5">
        <v>6999.9000000000005</v>
      </c>
      <c r="U22" s="3" t="s">
        <v>32</v>
      </c>
      <c r="V22" s="3" t="s">
        <v>52</v>
      </c>
      <c r="W22" s="3" t="s">
        <v>53</v>
      </c>
    </row>
    <row r="23" spans="1:23" x14ac:dyDescent="0.25">
      <c r="A23" s="3" t="s">
        <v>104</v>
      </c>
      <c r="B23" s="3">
        <v>105</v>
      </c>
      <c r="C23" s="3" t="s">
        <v>63</v>
      </c>
      <c r="D23" s="3" t="s">
        <v>56</v>
      </c>
      <c r="E23" s="3" t="s">
        <v>64</v>
      </c>
      <c r="F23" s="3" t="s">
        <v>38</v>
      </c>
      <c r="G23" s="4">
        <v>45677</v>
      </c>
      <c r="H23" s="3">
        <v>22</v>
      </c>
      <c r="I23" s="3" t="s">
        <v>39</v>
      </c>
      <c r="J23" s="3" t="s">
        <v>40</v>
      </c>
      <c r="K23" s="3" t="s">
        <v>41</v>
      </c>
      <c r="L23" s="3" t="s">
        <v>31</v>
      </c>
      <c r="M23" s="4">
        <v>46069</v>
      </c>
      <c r="N23" s="3">
        <v>2</v>
      </c>
      <c r="O23" s="5">
        <v>30999</v>
      </c>
      <c r="P23" s="3">
        <v>5</v>
      </c>
      <c r="Q23" s="5">
        <v>61998</v>
      </c>
      <c r="R23" s="5">
        <v>3099.9</v>
      </c>
      <c r="S23" s="5">
        <v>58898.1</v>
      </c>
      <c r="T23" s="5">
        <v>11779.62</v>
      </c>
      <c r="U23" s="3" t="s">
        <v>42</v>
      </c>
      <c r="V23" s="3" t="s">
        <v>33</v>
      </c>
      <c r="W23" s="3" t="s">
        <v>61</v>
      </c>
    </row>
    <row r="24" spans="1:23" x14ac:dyDescent="0.25">
      <c r="A24" s="3" t="s">
        <v>105</v>
      </c>
      <c r="B24" s="3">
        <v>106</v>
      </c>
      <c r="C24" s="3" t="s">
        <v>71</v>
      </c>
      <c r="D24" s="3" t="s">
        <v>56</v>
      </c>
      <c r="E24" s="3" t="s">
        <v>26</v>
      </c>
      <c r="F24" s="3" t="s">
        <v>38</v>
      </c>
      <c r="G24" s="4">
        <v>45679</v>
      </c>
      <c r="H24" s="3">
        <v>24</v>
      </c>
      <c r="I24" s="3" t="s">
        <v>48</v>
      </c>
      <c r="J24" s="3" t="s">
        <v>49</v>
      </c>
      <c r="K24" s="3" t="s">
        <v>50</v>
      </c>
      <c r="L24" s="3" t="s">
        <v>31</v>
      </c>
      <c r="M24" s="4">
        <v>46071</v>
      </c>
      <c r="N24" s="3">
        <v>1</v>
      </c>
      <c r="O24" s="5">
        <v>16999</v>
      </c>
      <c r="P24" s="3">
        <v>10</v>
      </c>
      <c r="Q24" s="5">
        <v>16999</v>
      </c>
      <c r="R24" s="5">
        <v>1699.9</v>
      </c>
      <c r="S24" s="5">
        <v>15299.1</v>
      </c>
      <c r="T24" s="5">
        <v>3824.7750000000001</v>
      </c>
      <c r="U24" s="3" t="s">
        <v>51</v>
      </c>
      <c r="V24" s="3" t="s">
        <v>43</v>
      </c>
      <c r="W24" s="3" t="s">
        <v>69</v>
      </c>
    </row>
    <row r="25" spans="1:23" x14ac:dyDescent="0.25">
      <c r="A25" s="3" t="s">
        <v>106</v>
      </c>
      <c r="B25" s="3">
        <v>107</v>
      </c>
      <c r="C25" s="3" t="s">
        <v>74</v>
      </c>
      <c r="D25" s="3" t="s">
        <v>25</v>
      </c>
      <c r="E25" s="3" t="s">
        <v>26</v>
      </c>
      <c r="F25" s="3" t="s">
        <v>27</v>
      </c>
      <c r="G25" s="4">
        <v>45682</v>
      </c>
      <c r="H25" s="3">
        <v>27</v>
      </c>
      <c r="I25" s="3" t="s">
        <v>57</v>
      </c>
      <c r="J25" s="3" t="s">
        <v>58</v>
      </c>
      <c r="K25" s="3" t="s">
        <v>59</v>
      </c>
      <c r="L25" s="3" t="s">
        <v>31</v>
      </c>
      <c r="M25" s="4">
        <v>46073</v>
      </c>
      <c r="N25" s="3">
        <v>3</v>
      </c>
      <c r="O25" s="5">
        <v>27999</v>
      </c>
      <c r="P25" s="3">
        <v>5</v>
      </c>
      <c r="Q25" s="5">
        <v>83997</v>
      </c>
      <c r="R25" s="5">
        <v>4199.8500000000004</v>
      </c>
      <c r="S25" s="5">
        <v>79797.149999999994</v>
      </c>
      <c r="T25" s="5">
        <v>23939.145</v>
      </c>
      <c r="U25" s="3" t="s">
        <v>60</v>
      </c>
      <c r="V25" s="3" t="s">
        <v>52</v>
      </c>
      <c r="W25" s="3" t="s">
        <v>72</v>
      </c>
    </row>
    <row r="26" spans="1:23" x14ac:dyDescent="0.25">
      <c r="A26" s="3" t="s">
        <v>107</v>
      </c>
      <c r="B26" s="3">
        <v>108</v>
      </c>
      <c r="C26" s="3" t="s">
        <v>76</v>
      </c>
      <c r="D26" s="3" t="s">
        <v>47</v>
      </c>
      <c r="E26" s="3" t="s">
        <v>37</v>
      </c>
      <c r="F26" s="3" t="s">
        <v>27</v>
      </c>
      <c r="G26" s="4">
        <v>45685</v>
      </c>
      <c r="H26" s="3">
        <v>21</v>
      </c>
      <c r="I26" s="3" t="s">
        <v>65</v>
      </c>
      <c r="J26" s="3" t="s">
        <v>66</v>
      </c>
      <c r="K26" s="3" t="s">
        <v>41</v>
      </c>
      <c r="L26" s="3" t="s">
        <v>67</v>
      </c>
      <c r="M26" s="4">
        <v>46075</v>
      </c>
      <c r="N26" s="3">
        <v>2</v>
      </c>
      <c r="O26" s="5">
        <v>8999</v>
      </c>
      <c r="P26" s="3">
        <v>8</v>
      </c>
      <c r="Q26" s="5">
        <v>17998</v>
      </c>
      <c r="R26" s="5">
        <v>1439.84</v>
      </c>
      <c r="S26" s="5">
        <v>16558.16</v>
      </c>
      <c r="T26" s="5">
        <v>1655.816</v>
      </c>
      <c r="U26" s="3" t="s">
        <v>68</v>
      </c>
      <c r="V26" s="3" t="s">
        <v>33</v>
      </c>
      <c r="W26" s="3" t="s">
        <v>34</v>
      </c>
    </row>
    <row r="27" spans="1:23" x14ac:dyDescent="0.25">
      <c r="A27" s="3" t="s">
        <v>108</v>
      </c>
      <c r="B27" s="3">
        <v>109</v>
      </c>
      <c r="C27" s="3" t="s">
        <v>78</v>
      </c>
      <c r="D27" s="3" t="s">
        <v>79</v>
      </c>
      <c r="E27" s="3" t="s">
        <v>64</v>
      </c>
      <c r="F27" s="3" t="s">
        <v>27</v>
      </c>
      <c r="G27" s="4">
        <v>45690</v>
      </c>
      <c r="H27" s="3">
        <v>26</v>
      </c>
      <c r="I27" s="3" t="s">
        <v>28</v>
      </c>
      <c r="J27" s="3" t="s">
        <v>29</v>
      </c>
      <c r="K27" s="3" t="s">
        <v>30</v>
      </c>
      <c r="L27" s="3" t="s">
        <v>31</v>
      </c>
      <c r="M27" s="4">
        <v>46077</v>
      </c>
      <c r="N27" s="3">
        <v>4</v>
      </c>
      <c r="O27" s="5">
        <v>69999</v>
      </c>
      <c r="P27" s="3">
        <v>12</v>
      </c>
      <c r="Q27" s="5">
        <v>279996</v>
      </c>
      <c r="R27" s="5">
        <v>33599.519999999997</v>
      </c>
      <c r="S27" s="5">
        <v>246396.48</v>
      </c>
      <c r="T27" s="5">
        <v>49279.296000000002</v>
      </c>
      <c r="U27" s="3" t="s">
        <v>32</v>
      </c>
      <c r="V27" s="3" t="s">
        <v>43</v>
      </c>
      <c r="W27" s="3" t="s">
        <v>44</v>
      </c>
    </row>
    <row r="28" spans="1:23" x14ac:dyDescent="0.25">
      <c r="A28" s="3" t="s">
        <v>109</v>
      </c>
      <c r="B28" s="3">
        <v>110</v>
      </c>
      <c r="C28" s="3" t="s">
        <v>81</v>
      </c>
      <c r="D28" s="3" t="s">
        <v>82</v>
      </c>
      <c r="E28" s="3" t="s">
        <v>26</v>
      </c>
      <c r="F28" s="3" t="s">
        <v>38</v>
      </c>
      <c r="G28" s="4">
        <v>45693</v>
      </c>
      <c r="H28" s="3">
        <v>25</v>
      </c>
      <c r="I28" s="3" t="s">
        <v>39</v>
      </c>
      <c r="J28" s="3" t="s">
        <v>40</v>
      </c>
      <c r="K28" s="3" t="s">
        <v>41</v>
      </c>
      <c r="L28" s="3" t="s">
        <v>31</v>
      </c>
      <c r="M28" s="4">
        <v>46079</v>
      </c>
      <c r="N28" s="3">
        <v>1</v>
      </c>
      <c r="O28" s="5">
        <v>30999</v>
      </c>
      <c r="P28" s="3">
        <v>0</v>
      </c>
      <c r="Q28" s="5">
        <v>30999</v>
      </c>
      <c r="R28" s="5">
        <v>0</v>
      </c>
      <c r="S28" s="5">
        <v>30999</v>
      </c>
      <c r="T28" s="5">
        <v>7749.75</v>
      </c>
      <c r="U28" s="3" t="s">
        <v>42</v>
      </c>
      <c r="V28" s="3" t="s">
        <v>52</v>
      </c>
      <c r="W28" s="3" t="s">
        <v>53</v>
      </c>
    </row>
    <row r="29" spans="1:23" x14ac:dyDescent="0.25">
      <c r="A29" s="3" t="s">
        <v>110</v>
      </c>
      <c r="B29" s="3">
        <v>111</v>
      </c>
      <c r="C29" s="3" t="s">
        <v>84</v>
      </c>
      <c r="D29" s="3" t="s">
        <v>79</v>
      </c>
      <c r="E29" s="3" t="s">
        <v>37</v>
      </c>
      <c r="F29" s="3" t="s">
        <v>38</v>
      </c>
      <c r="G29" s="4">
        <v>45696</v>
      </c>
      <c r="H29" s="3">
        <v>27</v>
      </c>
      <c r="I29" s="3" t="s">
        <v>48</v>
      </c>
      <c r="J29" s="3" t="s">
        <v>49</v>
      </c>
      <c r="K29" s="3" t="s">
        <v>50</v>
      </c>
      <c r="L29" s="3" t="s">
        <v>31</v>
      </c>
      <c r="M29" s="4">
        <v>46081</v>
      </c>
      <c r="N29" s="3">
        <v>2</v>
      </c>
      <c r="O29" s="5">
        <v>16999</v>
      </c>
      <c r="P29" s="3">
        <v>7</v>
      </c>
      <c r="Q29" s="5">
        <v>33998</v>
      </c>
      <c r="R29" s="5">
        <v>2379.86</v>
      </c>
      <c r="S29" s="5">
        <v>31618.14</v>
      </c>
      <c r="T29" s="5">
        <v>9485.4419999999991</v>
      </c>
      <c r="U29" s="3" t="s">
        <v>51</v>
      </c>
      <c r="V29" s="3" t="s">
        <v>33</v>
      </c>
      <c r="W29" s="3" t="s">
        <v>61</v>
      </c>
    </row>
    <row r="30" spans="1:23" x14ac:dyDescent="0.25">
      <c r="A30" s="3" t="s">
        <v>111</v>
      </c>
      <c r="B30" s="3">
        <v>112</v>
      </c>
      <c r="C30" s="3" t="s">
        <v>86</v>
      </c>
      <c r="D30" s="3" t="s">
        <v>87</v>
      </c>
      <c r="E30" s="3" t="s">
        <v>88</v>
      </c>
      <c r="F30" s="3" t="s">
        <v>38</v>
      </c>
      <c r="G30" s="4">
        <v>45700</v>
      </c>
      <c r="H30" s="3">
        <v>28</v>
      </c>
      <c r="I30" s="3" t="s">
        <v>57</v>
      </c>
      <c r="J30" s="3" t="s">
        <v>58</v>
      </c>
      <c r="K30" s="3" t="s">
        <v>59</v>
      </c>
      <c r="L30" s="3" t="s">
        <v>31</v>
      </c>
      <c r="M30" s="4">
        <v>46083</v>
      </c>
      <c r="N30" s="3">
        <v>5</v>
      </c>
      <c r="O30" s="5">
        <v>27999</v>
      </c>
      <c r="P30" s="3">
        <v>10</v>
      </c>
      <c r="Q30" s="5">
        <v>139995</v>
      </c>
      <c r="R30" s="5">
        <v>13999.5</v>
      </c>
      <c r="S30" s="5">
        <v>125995.5</v>
      </c>
      <c r="T30" s="5">
        <v>12599.55</v>
      </c>
      <c r="U30" s="3" t="s">
        <v>60</v>
      </c>
      <c r="V30" s="3" t="s">
        <v>43</v>
      </c>
      <c r="W30" s="3" t="s">
        <v>69</v>
      </c>
    </row>
    <row r="31" spans="1:23" x14ac:dyDescent="0.25">
      <c r="A31" s="3" t="s">
        <v>112</v>
      </c>
      <c r="B31" s="3">
        <v>113</v>
      </c>
      <c r="C31" s="3" t="s">
        <v>90</v>
      </c>
      <c r="D31" s="3" t="s">
        <v>91</v>
      </c>
      <c r="E31" s="3" t="s">
        <v>26</v>
      </c>
      <c r="F31" s="3" t="s">
        <v>38</v>
      </c>
      <c r="G31" s="4">
        <v>45703</v>
      </c>
      <c r="H31" s="3">
        <v>20</v>
      </c>
      <c r="I31" s="3" t="s">
        <v>65</v>
      </c>
      <c r="J31" s="3" t="s">
        <v>66</v>
      </c>
      <c r="K31" s="3" t="s">
        <v>41</v>
      </c>
      <c r="L31" s="3" t="s">
        <v>67</v>
      </c>
      <c r="M31" s="4">
        <v>46085</v>
      </c>
      <c r="N31" s="3">
        <v>1</v>
      </c>
      <c r="O31" s="5">
        <v>8999</v>
      </c>
      <c r="P31" s="3">
        <v>5</v>
      </c>
      <c r="Q31" s="5">
        <v>8999</v>
      </c>
      <c r="R31" s="5">
        <v>449.95</v>
      </c>
      <c r="S31" s="5">
        <v>8549.0499999999993</v>
      </c>
      <c r="T31" s="5">
        <v>1709.81</v>
      </c>
      <c r="U31" s="3" t="s">
        <v>68</v>
      </c>
      <c r="V31" s="3" t="s">
        <v>52</v>
      </c>
      <c r="W31" s="3" t="s">
        <v>72</v>
      </c>
    </row>
    <row r="32" spans="1:23" x14ac:dyDescent="0.25">
      <c r="A32" s="3" t="s">
        <v>113</v>
      </c>
      <c r="B32" s="3">
        <v>114</v>
      </c>
      <c r="C32" s="3" t="s">
        <v>93</v>
      </c>
      <c r="D32" s="3" t="s">
        <v>91</v>
      </c>
      <c r="E32" s="3" t="s">
        <v>26</v>
      </c>
      <c r="F32" s="3" t="s">
        <v>38</v>
      </c>
      <c r="G32" s="4">
        <v>45706</v>
      </c>
      <c r="H32" s="3">
        <v>22</v>
      </c>
      <c r="I32" s="3" t="s">
        <v>28</v>
      </c>
      <c r="J32" s="3" t="s">
        <v>29</v>
      </c>
      <c r="K32" s="3" t="s">
        <v>30</v>
      </c>
      <c r="L32" s="3" t="s">
        <v>31</v>
      </c>
      <c r="M32" s="4">
        <v>46087</v>
      </c>
      <c r="N32" s="3">
        <v>1</v>
      </c>
      <c r="O32" s="5">
        <v>69999</v>
      </c>
      <c r="P32" s="3">
        <v>0</v>
      </c>
      <c r="Q32" s="5">
        <v>69999</v>
      </c>
      <c r="R32" s="5">
        <v>0</v>
      </c>
      <c r="S32" s="5">
        <v>69999</v>
      </c>
      <c r="T32" s="5">
        <v>17499.75</v>
      </c>
      <c r="U32" s="3" t="s">
        <v>32</v>
      </c>
      <c r="V32" s="3" t="s">
        <v>33</v>
      </c>
      <c r="W32" s="3" t="s">
        <v>34</v>
      </c>
    </row>
    <row r="33" spans="1:23" x14ac:dyDescent="0.25">
      <c r="A33" s="3" t="s">
        <v>114</v>
      </c>
      <c r="B33" s="3">
        <v>115</v>
      </c>
      <c r="C33" s="3" t="s">
        <v>95</v>
      </c>
      <c r="D33" s="3" t="s">
        <v>82</v>
      </c>
      <c r="E33" s="3" t="s">
        <v>37</v>
      </c>
      <c r="F33" s="3" t="s">
        <v>27</v>
      </c>
      <c r="G33" s="4">
        <v>45708</v>
      </c>
      <c r="H33" s="3">
        <v>24</v>
      </c>
      <c r="I33" s="3" t="s">
        <v>39</v>
      </c>
      <c r="J33" s="3" t="s">
        <v>40</v>
      </c>
      <c r="K33" s="3" t="s">
        <v>41</v>
      </c>
      <c r="L33" s="3" t="s">
        <v>31</v>
      </c>
      <c r="M33" s="4">
        <v>46089</v>
      </c>
      <c r="N33" s="3">
        <v>2</v>
      </c>
      <c r="O33" s="5">
        <v>30999</v>
      </c>
      <c r="P33" s="3">
        <v>5</v>
      </c>
      <c r="Q33" s="5">
        <v>61998</v>
      </c>
      <c r="R33" s="5">
        <v>3099.9</v>
      </c>
      <c r="S33" s="5">
        <v>58898.1</v>
      </c>
      <c r="T33" s="5">
        <v>17669.43</v>
      </c>
      <c r="U33" s="3" t="s">
        <v>42</v>
      </c>
      <c r="V33" s="3" t="s">
        <v>43</v>
      </c>
      <c r="W33" s="3" t="s">
        <v>44</v>
      </c>
    </row>
    <row r="34" spans="1:23" x14ac:dyDescent="0.25">
      <c r="A34" s="3" t="s">
        <v>115</v>
      </c>
      <c r="B34" s="3">
        <v>116</v>
      </c>
      <c r="C34" s="3" t="s">
        <v>97</v>
      </c>
      <c r="D34" s="3" t="s">
        <v>82</v>
      </c>
      <c r="E34" s="3" t="s">
        <v>64</v>
      </c>
      <c r="F34" s="3" t="s">
        <v>27</v>
      </c>
      <c r="G34" s="4">
        <v>45710</v>
      </c>
      <c r="H34" s="3">
        <v>23</v>
      </c>
      <c r="I34" s="3" t="s">
        <v>48</v>
      </c>
      <c r="J34" s="3" t="s">
        <v>49</v>
      </c>
      <c r="K34" s="3" t="s">
        <v>50</v>
      </c>
      <c r="L34" s="3" t="s">
        <v>31</v>
      </c>
      <c r="M34" s="4">
        <v>46091</v>
      </c>
      <c r="N34" s="3">
        <v>1</v>
      </c>
      <c r="O34" s="5">
        <v>16999</v>
      </c>
      <c r="P34" s="3">
        <v>10</v>
      </c>
      <c r="Q34" s="5">
        <v>16999</v>
      </c>
      <c r="R34" s="5">
        <v>1699.9</v>
      </c>
      <c r="S34" s="5">
        <v>15299.1</v>
      </c>
      <c r="T34" s="5">
        <v>1529.91</v>
      </c>
      <c r="U34" s="3" t="s">
        <v>51</v>
      </c>
      <c r="V34" s="3" t="s">
        <v>52</v>
      </c>
      <c r="W34" s="3" t="s">
        <v>53</v>
      </c>
    </row>
    <row r="35" spans="1:23" x14ac:dyDescent="0.25">
      <c r="A35" s="3" t="s">
        <v>116</v>
      </c>
      <c r="B35" s="3">
        <v>117</v>
      </c>
      <c r="C35" s="3" t="s">
        <v>99</v>
      </c>
      <c r="D35" s="3" t="s">
        <v>47</v>
      </c>
      <c r="E35" s="3" t="s">
        <v>26</v>
      </c>
      <c r="F35" s="3" t="s">
        <v>38</v>
      </c>
      <c r="G35" s="4">
        <v>45713</v>
      </c>
      <c r="H35" s="3">
        <v>26</v>
      </c>
      <c r="I35" s="3" t="s">
        <v>57</v>
      </c>
      <c r="J35" s="3" t="s">
        <v>58</v>
      </c>
      <c r="K35" s="3" t="s">
        <v>59</v>
      </c>
      <c r="L35" s="3" t="s">
        <v>31</v>
      </c>
      <c r="M35" s="4">
        <v>46093</v>
      </c>
      <c r="N35" s="3">
        <v>3</v>
      </c>
      <c r="O35" s="5">
        <v>27999</v>
      </c>
      <c r="P35" s="3">
        <v>5</v>
      </c>
      <c r="Q35" s="5">
        <v>83997</v>
      </c>
      <c r="R35" s="5">
        <v>4199.8500000000004</v>
      </c>
      <c r="S35" s="5">
        <v>79797.149999999994</v>
      </c>
      <c r="T35" s="5">
        <v>15959.43</v>
      </c>
      <c r="U35" s="3" t="s">
        <v>60</v>
      </c>
      <c r="V35" s="3" t="s">
        <v>33</v>
      </c>
      <c r="W35" s="3" t="s">
        <v>61</v>
      </c>
    </row>
    <row r="36" spans="1:23" x14ac:dyDescent="0.25">
      <c r="A36" s="3" t="s">
        <v>117</v>
      </c>
      <c r="B36" s="3">
        <v>101</v>
      </c>
      <c r="C36" s="3" t="s">
        <v>24</v>
      </c>
      <c r="D36" s="3" t="s">
        <v>25</v>
      </c>
      <c r="E36" s="3" t="s">
        <v>26</v>
      </c>
      <c r="F36" s="3" t="s">
        <v>27</v>
      </c>
      <c r="G36" s="4">
        <v>45662</v>
      </c>
      <c r="H36" s="3">
        <v>25</v>
      </c>
      <c r="I36" s="3" t="s">
        <v>65</v>
      </c>
      <c r="J36" s="3" t="s">
        <v>66</v>
      </c>
      <c r="K36" s="3" t="s">
        <v>41</v>
      </c>
      <c r="L36" s="3" t="s">
        <v>67</v>
      </c>
      <c r="M36" s="4">
        <v>46095</v>
      </c>
      <c r="N36" s="3">
        <v>2</v>
      </c>
      <c r="O36" s="5">
        <v>8999</v>
      </c>
      <c r="P36" s="3">
        <v>8</v>
      </c>
      <c r="Q36" s="5">
        <v>17998</v>
      </c>
      <c r="R36" s="5">
        <v>1439.84</v>
      </c>
      <c r="S36" s="5">
        <v>16558.16</v>
      </c>
      <c r="T36" s="5">
        <v>4139.54</v>
      </c>
      <c r="U36" s="3" t="s">
        <v>68</v>
      </c>
      <c r="V36" s="3" t="s">
        <v>43</v>
      </c>
      <c r="W36" s="3" t="s">
        <v>69</v>
      </c>
    </row>
    <row r="37" spans="1:23" x14ac:dyDescent="0.25">
      <c r="A37" s="3" t="s">
        <v>118</v>
      </c>
      <c r="B37" s="3">
        <v>102</v>
      </c>
      <c r="C37" s="3" t="s">
        <v>36</v>
      </c>
      <c r="D37" s="3" t="s">
        <v>25</v>
      </c>
      <c r="E37" s="3" t="s">
        <v>37</v>
      </c>
      <c r="F37" s="3" t="s">
        <v>38</v>
      </c>
      <c r="G37" s="4">
        <v>45665</v>
      </c>
      <c r="H37" s="3">
        <v>24</v>
      </c>
      <c r="I37" s="3" t="s">
        <v>28</v>
      </c>
      <c r="J37" s="3" t="s">
        <v>29</v>
      </c>
      <c r="K37" s="3" t="s">
        <v>30</v>
      </c>
      <c r="L37" s="3" t="s">
        <v>31</v>
      </c>
      <c r="M37" s="4">
        <v>46097</v>
      </c>
      <c r="N37" s="3">
        <v>4</v>
      </c>
      <c r="O37" s="5">
        <v>69999</v>
      </c>
      <c r="P37" s="3">
        <v>12</v>
      </c>
      <c r="Q37" s="5">
        <v>279996</v>
      </c>
      <c r="R37" s="5">
        <v>33599.519999999997</v>
      </c>
      <c r="S37" s="5">
        <v>246396.48</v>
      </c>
      <c r="T37" s="5">
        <v>73918.944000000003</v>
      </c>
      <c r="U37" s="3" t="s">
        <v>32</v>
      </c>
      <c r="V37" s="3" t="s">
        <v>52</v>
      </c>
      <c r="W37" s="3" t="s">
        <v>72</v>
      </c>
    </row>
    <row r="38" spans="1:23" x14ac:dyDescent="0.25">
      <c r="A38" s="3" t="s">
        <v>119</v>
      </c>
      <c r="B38" s="3">
        <v>103</v>
      </c>
      <c r="C38" s="3" t="s">
        <v>46</v>
      </c>
      <c r="D38" s="3" t="s">
        <v>47</v>
      </c>
      <c r="E38" s="3" t="s">
        <v>26</v>
      </c>
      <c r="F38" s="3" t="s">
        <v>38</v>
      </c>
      <c r="G38" s="4">
        <v>45669</v>
      </c>
      <c r="H38" s="3">
        <v>23</v>
      </c>
      <c r="I38" s="3" t="s">
        <v>39</v>
      </c>
      <c r="J38" s="3" t="s">
        <v>40</v>
      </c>
      <c r="K38" s="3" t="s">
        <v>41</v>
      </c>
      <c r="L38" s="3" t="s">
        <v>31</v>
      </c>
      <c r="M38" s="4">
        <v>46099</v>
      </c>
      <c r="N38" s="3">
        <v>1</v>
      </c>
      <c r="O38" s="5">
        <v>30999</v>
      </c>
      <c r="P38" s="3">
        <v>0</v>
      </c>
      <c r="Q38" s="5">
        <v>30999</v>
      </c>
      <c r="R38" s="5">
        <v>0</v>
      </c>
      <c r="S38" s="5">
        <v>30999</v>
      </c>
      <c r="T38" s="5">
        <v>3099.9</v>
      </c>
      <c r="U38" s="3" t="s">
        <v>42</v>
      </c>
      <c r="V38" s="3" t="s">
        <v>33</v>
      </c>
      <c r="W38" s="3" t="s">
        <v>34</v>
      </c>
    </row>
    <row r="39" spans="1:23" x14ac:dyDescent="0.25">
      <c r="A39" s="3" t="s">
        <v>120</v>
      </c>
      <c r="B39" s="3">
        <v>104</v>
      </c>
      <c r="C39" s="3" t="s">
        <v>55</v>
      </c>
      <c r="D39" s="3" t="s">
        <v>56</v>
      </c>
      <c r="E39" s="3" t="s">
        <v>26</v>
      </c>
      <c r="F39" s="3" t="s">
        <v>38</v>
      </c>
      <c r="G39" s="4">
        <v>45672</v>
      </c>
      <c r="H39" s="3">
        <v>26</v>
      </c>
      <c r="I39" s="3" t="s">
        <v>48</v>
      </c>
      <c r="J39" s="3" t="s">
        <v>49</v>
      </c>
      <c r="K39" s="3" t="s">
        <v>50</v>
      </c>
      <c r="L39" s="3" t="s">
        <v>31</v>
      </c>
      <c r="M39" s="4">
        <v>46101</v>
      </c>
      <c r="N39" s="3">
        <v>2</v>
      </c>
      <c r="O39" s="5">
        <v>16999</v>
      </c>
      <c r="P39" s="3">
        <v>7</v>
      </c>
      <c r="Q39" s="5">
        <v>33998</v>
      </c>
      <c r="R39" s="5">
        <v>2379.86</v>
      </c>
      <c r="S39" s="5">
        <v>31618.14</v>
      </c>
      <c r="T39" s="5">
        <v>6323.6280000000006</v>
      </c>
      <c r="U39" s="3" t="s">
        <v>51</v>
      </c>
      <c r="V39" s="3" t="s">
        <v>43</v>
      </c>
      <c r="W39" s="3" t="s">
        <v>44</v>
      </c>
    </row>
    <row r="40" spans="1:23" x14ac:dyDescent="0.25">
      <c r="A40" s="3" t="s">
        <v>121</v>
      </c>
      <c r="B40" s="3">
        <v>105</v>
      </c>
      <c r="C40" s="3" t="s">
        <v>63</v>
      </c>
      <c r="D40" s="3" t="s">
        <v>56</v>
      </c>
      <c r="E40" s="3" t="s">
        <v>64</v>
      </c>
      <c r="F40" s="3" t="s">
        <v>38</v>
      </c>
      <c r="G40" s="4">
        <v>45677</v>
      </c>
      <c r="H40" s="3">
        <v>22</v>
      </c>
      <c r="I40" s="3" t="s">
        <v>57</v>
      </c>
      <c r="J40" s="3" t="s">
        <v>58</v>
      </c>
      <c r="K40" s="3" t="s">
        <v>59</v>
      </c>
      <c r="L40" s="3" t="s">
        <v>31</v>
      </c>
      <c r="M40" s="4">
        <v>46103</v>
      </c>
      <c r="N40" s="3">
        <v>5</v>
      </c>
      <c r="O40" s="5">
        <v>27999</v>
      </c>
      <c r="P40" s="3">
        <v>10</v>
      </c>
      <c r="Q40" s="5">
        <v>139995</v>
      </c>
      <c r="R40" s="5">
        <v>13999.5</v>
      </c>
      <c r="S40" s="5">
        <v>125995.5</v>
      </c>
      <c r="T40" s="5">
        <v>31498.875</v>
      </c>
      <c r="U40" s="3" t="s">
        <v>60</v>
      </c>
      <c r="V40" s="3" t="s">
        <v>52</v>
      </c>
      <c r="W40" s="3" t="s">
        <v>53</v>
      </c>
    </row>
    <row r="41" spans="1:23" x14ac:dyDescent="0.25">
      <c r="A41" s="3" t="s">
        <v>122</v>
      </c>
      <c r="B41" s="3">
        <v>106</v>
      </c>
      <c r="C41" s="3" t="s">
        <v>71</v>
      </c>
      <c r="D41" s="3" t="s">
        <v>56</v>
      </c>
      <c r="E41" s="3" t="s">
        <v>26</v>
      </c>
      <c r="F41" s="3" t="s">
        <v>38</v>
      </c>
      <c r="G41" s="4">
        <v>45679</v>
      </c>
      <c r="H41" s="3">
        <v>24</v>
      </c>
      <c r="I41" s="3" t="s">
        <v>65</v>
      </c>
      <c r="J41" s="3" t="s">
        <v>66</v>
      </c>
      <c r="K41" s="3" t="s">
        <v>41</v>
      </c>
      <c r="L41" s="3" t="s">
        <v>67</v>
      </c>
      <c r="M41" s="4">
        <v>46105</v>
      </c>
      <c r="N41" s="3">
        <v>1</v>
      </c>
      <c r="O41" s="5">
        <v>8999</v>
      </c>
      <c r="P41" s="3">
        <v>5</v>
      </c>
      <c r="Q41" s="5">
        <v>8999</v>
      </c>
      <c r="R41" s="5">
        <v>449.95</v>
      </c>
      <c r="S41" s="5">
        <v>8549.0499999999993</v>
      </c>
      <c r="T41" s="5">
        <v>2564.7150000000001</v>
      </c>
      <c r="U41" s="3" t="s">
        <v>68</v>
      </c>
      <c r="V41" s="3" t="s">
        <v>33</v>
      </c>
      <c r="W41" s="3" t="s">
        <v>61</v>
      </c>
    </row>
    <row r="42" spans="1:23" x14ac:dyDescent="0.25">
      <c r="A42" s="3" t="s">
        <v>123</v>
      </c>
      <c r="B42" s="3">
        <v>107</v>
      </c>
      <c r="C42" s="3" t="s">
        <v>74</v>
      </c>
      <c r="D42" s="3" t="s">
        <v>25</v>
      </c>
      <c r="E42" s="3" t="s">
        <v>26</v>
      </c>
      <c r="F42" s="3" t="s">
        <v>27</v>
      </c>
      <c r="G42" s="4">
        <v>45682</v>
      </c>
      <c r="H42" s="3">
        <v>27</v>
      </c>
      <c r="I42" s="3" t="s">
        <v>28</v>
      </c>
      <c r="J42" s="3" t="s">
        <v>29</v>
      </c>
      <c r="K42" s="3" t="s">
        <v>30</v>
      </c>
      <c r="L42" s="3" t="s">
        <v>31</v>
      </c>
      <c r="M42" s="4">
        <v>46107</v>
      </c>
      <c r="N42" s="3">
        <v>1</v>
      </c>
      <c r="O42" s="5">
        <v>69999</v>
      </c>
      <c r="P42" s="3">
        <v>0</v>
      </c>
      <c r="Q42" s="5">
        <v>69999</v>
      </c>
      <c r="R42" s="5">
        <v>0</v>
      </c>
      <c r="S42" s="5">
        <v>69999</v>
      </c>
      <c r="T42" s="5">
        <v>6999.9000000000005</v>
      </c>
      <c r="U42" s="3" t="s">
        <v>32</v>
      </c>
      <c r="V42" s="3" t="s">
        <v>43</v>
      </c>
      <c r="W42" s="3" t="s">
        <v>69</v>
      </c>
    </row>
    <row r="43" spans="1:23" x14ac:dyDescent="0.25">
      <c r="A43" s="3" t="s">
        <v>124</v>
      </c>
      <c r="B43" s="3">
        <v>108</v>
      </c>
      <c r="C43" s="3" t="s">
        <v>76</v>
      </c>
      <c r="D43" s="3" t="s">
        <v>47</v>
      </c>
      <c r="E43" s="3" t="s">
        <v>37</v>
      </c>
      <c r="F43" s="3" t="s">
        <v>27</v>
      </c>
      <c r="G43" s="4">
        <v>45685</v>
      </c>
      <c r="H43" s="3">
        <v>21</v>
      </c>
      <c r="I43" s="3" t="s">
        <v>39</v>
      </c>
      <c r="J43" s="3" t="s">
        <v>40</v>
      </c>
      <c r="K43" s="3" t="s">
        <v>41</v>
      </c>
      <c r="L43" s="3" t="s">
        <v>31</v>
      </c>
      <c r="M43" s="4">
        <v>46109</v>
      </c>
      <c r="N43" s="3">
        <v>2</v>
      </c>
      <c r="O43" s="5">
        <v>30999</v>
      </c>
      <c r="P43" s="3">
        <v>5</v>
      </c>
      <c r="Q43" s="5">
        <v>61998</v>
      </c>
      <c r="R43" s="5">
        <v>3099.9</v>
      </c>
      <c r="S43" s="5">
        <v>58898.1</v>
      </c>
      <c r="T43" s="5">
        <v>11779.62</v>
      </c>
      <c r="U43" s="3" t="s">
        <v>42</v>
      </c>
      <c r="V43" s="3" t="s">
        <v>52</v>
      </c>
      <c r="W43" s="3" t="s">
        <v>72</v>
      </c>
    </row>
    <row r="44" spans="1:23" x14ac:dyDescent="0.25">
      <c r="A44" s="3" t="s">
        <v>125</v>
      </c>
      <c r="B44" s="3">
        <v>109</v>
      </c>
      <c r="C44" s="3" t="s">
        <v>78</v>
      </c>
      <c r="D44" s="3" t="s">
        <v>79</v>
      </c>
      <c r="E44" s="3" t="s">
        <v>64</v>
      </c>
      <c r="F44" s="3" t="s">
        <v>27</v>
      </c>
      <c r="G44" s="4">
        <v>45690</v>
      </c>
      <c r="H44" s="3">
        <v>26</v>
      </c>
      <c r="I44" s="3" t="s">
        <v>48</v>
      </c>
      <c r="J44" s="3" t="s">
        <v>49</v>
      </c>
      <c r="K44" s="3" t="s">
        <v>50</v>
      </c>
      <c r="L44" s="3" t="s">
        <v>31</v>
      </c>
      <c r="M44" s="4">
        <v>46111</v>
      </c>
      <c r="N44" s="3">
        <v>1</v>
      </c>
      <c r="O44" s="5">
        <v>16999</v>
      </c>
      <c r="P44" s="3">
        <v>10</v>
      </c>
      <c r="Q44" s="5">
        <v>16999</v>
      </c>
      <c r="R44" s="5">
        <v>1699.9</v>
      </c>
      <c r="S44" s="5">
        <v>15299.1</v>
      </c>
      <c r="T44" s="5">
        <v>3824.7750000000001</v>
      </c>
      <c r="U44" s="3" t="s">
        <v>51</v>
      </c>
      <c r="V44" s="3" t="s">
        <v>33</v>
      </c>
      <c r="W44" s="3" t="s">
        <v>34</v>
      </c>
    </row>
    <row r="45" spans="1:23" x14ac:dyDescent="0.25">
      <c r="A45" s="3" t="s">
        <v>126</v>
      </c>
      <c r="B45" s="3">
        <v>110</v>
      </c>
      <c r="C45" s="3" t="s">
        <v>81</v>
      </c>
      <c r="D45" s="3" t="s">
        <v>82</v>
      </c>
      <c r="E45" s="3" t="s">
        <v>26</v>
      </c>
      <c r="F45" s="3" t="s">
        <v>38</v>
      </c>
      <c r="G45" s="4">
        <v>45693</v>
      </c>
      <c r="H45" s="3">
        <v>25</v>
      </c>
      <c r="I45" s="3" t="s">
        <v>57</v>
      </c>
      <c r="J45" s="3" t="s">
        <v>58</v>
      </c>
      <c r="K45" s="3" t="s">
        <v>59</v>
      </c>
      <c r="L45" s="3" t="s">
        <v>31</v>
      </c>
      <c r="M45" s="4">
        <v>46113</v>
      </c>
      <c r="N45" s="3">
        <v>3</v>
      </c>
      <c r="O45" s="5">
        <v>27999</v>
      </c>
      <c r="P45" s="3">
        <v>5</v>
      </c>
      <c r="Q45" s="5">
        <v>83997</v>
      </c>
      <c r="R45" s="5">
        <v>4199.8500000000004</v>
      </c>
      <c r="S45" s="5">
        <v>79797.149999999994</v>
      </c>
      <c r="T45" s="5">
        <v>23939.145</v>
      </c>
      <c r="U45" s="3" t="s">
        <v>60</v>
      </c>
      <c r="V45" s="3" t="s">
        <v>43</v>
      </c>
      <c r="W45" s="3" t="s">
        <v>44</v>
      </c>
    </row>
    <row r="46" spans="1:23" x14ac:dyDescent="0.25">
      <c r="A46" s="3" t="s">
        <v>127</v>
      </c>
      <c r="B46" s="3">
        <v>111</v>
      </c>
      <c r="C46" s="3" t="s">
        <v>84</v>
      </c>
      <c r="D46" s="3" t="s">
        <v>79</v>
      </c>
      <c r="E46" s="3" t="s">
        <v>37</v>
      </c>
      <c r="F46" s="3" t="s">
        <v>38</v>
      </c>
      <c r="G46" s="4">
        <v>45696</v>
      </c>
      <c r="H46" s="3">
        <v>27</v>
      </c>
      <c r="I46" s="3" t="s">
        <v>65</v>
      </c>
      <c r="J46" s="3" t="s">
        <v>66</v>
      </c>
      <c r="K46" s="3" t="s">
        <v>41</v>
      </c>
      <c r="L46" s="3" t="s">
        <v>67</v>
      </c>
      <c r="M46" s="4">
        <v>46115</v>
      </c>
      <c r="N46" s="3">
        <v>2</v>
      </c>
      <c r="O46" s="5">
        <v>8999</v>
      </c>
      <c r="P46" s="3">
        <v>8</v>
      </c>
      <c r="Q46" s="5">
        <v>17998</v>
      </c>
      <c r="R46" s="5">
        <v>1439.84</v>
      </c>
      <c r="S46" s="5">
        <v>16558.16</v>
      </c>
      <c r="T46" s="5">
        <v>1655.816</v>
      </c>
      <c r="U46" s="3" t="s">
        <v>68</v>
      </c>
      <c r="V46" s="3" t="s">
        <v>52</v>
      </c>
      <c r="W46" s="3" t="s">
        <v>53</v>
      </c>
    </row>
    <row r="47" spans="1:23" x14ac:dyDescent="0.25">
      <c r="A47" s="3" t="s">
        <v>128</v>
      </c>
      <c r="B47" s="3">
        <v>112</v>
      </c>
      <c r="C47" s="3" t="s">
        <v>86</v>
      </c>
      <c r="D47" s="3" t="s">
        <v>87</v>
      </c>
      <c r="E47" s="3" t="s">
        <v>88</v>
      </c>
      <c r="F47" s="3" t="s">
        <v>38</v>
      </c>
      <c r="G47" s="4">
        <v>45700</v>
      </c>
      <c r="H47" s="3">
        <v>28</v>
      </c>
      <c r="I47" s="3" t="s">
        <v>28</v>
      </c>
      <c r="J47" s="3" t="s">
        <v>29</v>
      </c>
      <c r="K47" s="3" t="s">
        <v>30</v>
      </c>
      <c r="L47" s="3" t="s">
        <v>31</v>
      </c>
      <c r="M47" s="4">
        <v>46117</v>
      </c>
      <c r="N47" s="3">
        <v>4</v>
      </c>
      <c r="O47" s="5">
        <v>69999</v>
      </c>
      <c r="P47" s="3">
        <v>12</v>
      </c>
      <c r="Q47" s="5">
        <v>279996</v>
      </c>
      <c r="R47" s="5">
        <v>33599.519999999997</v>
      </c>
      <c r="S47" s="5">
        <v>246396.48</v>
      </c>
      <c r="T47" s="5">
        <v>49279.296000000002</v>
      </c>
      <c r="U47" s="3" t="s">
        <v>32</v>
      </c>
      <c r="V47" s="3" t="s">
        <v>33</v>
      </c>
      <c r="W47" s="3" t="s">
        <v>61</v>
      </c>
    </row>
    <row r="48" spans="1:23" x14ac:dyDescent="0.25">
      <c r="A48" s="3" t="s">
        <v>129</v>
      </c>
      <c r="B48" s="3">
        <v>113</v>
      </c>
      <c r="C48" s="3" t="s">
        <v>90</v>
      </c>
      <c r="D48" s="3" t="s">
        <v>91</v>
      </c>
      <c r="E48" s="3" t="s">
        <v>26</v>
      </c>
      <c r="F48" s="3" t="s">
        <v>38</v>
      </c>
      <c r="G48" s="4">
        <v>45703</v>
      </c>
      <c r="H48" s="3">
        <v>20</v>
      </c>
      <c r="I48" s="3" t="s">
        <v>39</v>
      </c>
      <c r="J48" s="3" t="s">
        <v>40</v>
      </c>
      <c r="K48" s="3" t="s">
        <v>41</v>
      </c>
      <c r="L48" s="3" t="s">
        <v>31</v>
      </c>
      <c r="M48" s="4">
        <v>46119</v>
      </c>
      <c r="N48" s="3">
        <v>1</v>
      </c>
      <c r="O48" s="5">
        <v>30999</v>
      </c>
      <c r="P48" s="3">
        <v>0</v>
      </c>
      <c r="Q48" s="5">
        <v>30999</v>
      </c>
      <c r="R48" s="5">
        <v>0</v>
      </c>
      <c r="S48" s="5">
        <v>30999</v>
      </c>
      <c r="T48" s="5">
        <v>7749.75</v>
      </c>
      <c r="U48" s="3" t="s">
        <v>42</v>
      </c>
      <c r="V48" s="3" t="s">
        <v>43</v>
      </c>
      <c r="W48" s="3" t="s">
        <v>69</v>
      </c>
    </row>
    <row r="49" spans="1:23" x14ac:dyDescent="0.25">
      <c r="A49" s="3" t="s">
        <v>130</v>
      </c>
      <c r="B49" s="3">
        <v>114</v>
      </c>
      <c r="C49" s="3" t="s">
        <v>93</v>
      </c>
      <c r="D49" s="3" t="s">
        <v>91</v>
      </c>
      <c r="E49" s="3" t="s">
        <v>26</v>
      </c>
      <c r="F49" s="3" t="s">
        <v>38</v>
      </c>
      <c r="G49" s="4">
        <v>45706</v>
      </c>
      <c r="H49" s="3">
        <v>22</v>
      </c>
      <c r="I49" s="3" t="s">
        <v>48</v>
      </c>
      <c r="J49" s="3" t="s">
        <v>49</v>
      </c>
      <c r="K49" s="3" t="s">
        <v>50</v>
      </c>
      <c r="L49" s="3" t="s">
        <v>31</v>
      </c>
      <c r="M49" s="4">
        <v>46121</v>
      </c>
      <c r="N49" s="3">
        <v>2</v>
      </c>
      <c r="O49" s="5">
        <v>16999</v>
      </c>
      <c r="P49" s="3">
        <v>7</v>
      </c>
      <c r="Q49" s="5">
        <v>33998</v>
      </c>
      <c r="R49" s="5">
        <v>2379.86</v>
      </c>
      <c r="S49" s="5">
        <v>31618.14</v>
      </c>
      <c r="T49" s="5">
        <v>9485.4419999999991</v>
      </c>
      <c r="U49" s="3" t="s">
        <v>51</v>
      </c>
      <c r="V49" s="3" t="s">
        <v>52</v>
      </c>
      <c r="W49" s="3" t="s">
        <v>72</v>
      </c>
    </row>
    <row r="50" spans="1:23" x14ac:dyDescent="0.25">
      <c r="A50" s="3" t="s">
        <v>131</v>
      </c>
      <c r="B50" s="3">
        <v>115</v>
      </c>
      <c r="C50" s="3" t="s">
        <v>95</v>
      </c>
      <c r="D50" s="3" t="s">
        <v>82</v>
      </c>
      <c r="E50" s="3" t="s">
        <v>37</v>
      </c>
      <c r="F50" s="3" t="s">
        <v>27</v>
      </c>
      <c r="G50" s="4">
        <v>45708</v>
      </c>
      <c r="H50" s="3">
        <v>24</v>
      </c>
      <c r="I50" s="3" t="s">
        <v>57</v>
      </c>
      <c r="J50" s="3" t="s">
        <v>58</v>
      </c>
      <c r="K50" s="3" t="s">
        <v>59</v>
      </c>
      <c r="L50" s="3" t="s">
        <v>31</v>
      </c>
      <c r="M50" s="4">
        <v>46123</v>
      </c>
      <c r="N50" s="3">
        <v>5</v>
      </c>
      <c r="O50" s="5">
        <v>27999</v>
      </c>
      <c r="P50" s="3">
        <v>10</v>
      </c>
      <c r="Q50" s="5">
        <v>139995</v>
      </c>
      <c r="R50" s="5">
        <v>13999.5</v>
      </c>
      <c r="S50" s="5">
        <v>125995.5</v>
      </c>
      <c r="T50" s="5">
        <v>12599.55</v>
      </c>
      <c r="U50" s="3" t="s">
        <v>60</v>
      </c>
      <c r="V50" s="3" t="s">
        <v>33</v>
      </c>
      <c r="W50" s="3" t="s">
        <v>34</v>
      </c>
    </row>
    <row r="51" spans="1:23" x14ac:dyDescent="0.25">
      <c r="A51" s="3" t="s">
        <v>132</v>
      </c>
      <c r="B51" s="3">
        <v>116</v>
      </c>
      <c r="C51" s="3" t="s">
        <v>97</v>
      </c>
      <c r="D51" s="3" t="s">
        <v>82</v>
      </c>
      <c r="E51" s="3" t="s">
        <v>64</v>
      </c>
      <c r="F51" s="3" t="s">
        <v>27</v>
      </c>
      <c r="G51" s="4">
        <v>45710</v>
      </c>
      <c r="H51" s="3">
        <v>23</v>
      </c>
      <c r="I51" s="3" t="s">
        <v>65</v>
      </c>
      <c r="J51" s="3" t="s">
        <v>66</v>
      </c>
      <c r="K51" s="3" t="s">
        <v>41</v>
      </c>
      <c r="L51" s="3" t="s">
        <v>67</v>
      </c>
      <c r="M51" s="4">
        <v>46125</v>
      </c>
      <c r="N51" s="3">
        <v>1</v>
      </c>
      <c r="O51" s="5">
        <v>8999</v>
      </c>
      <c r="P51" s="3">
        <v>5</v>
      </c>
      <c r="Q51" s="5">
        <v>8999</v>
      </c>
      <c r="R51" s="5">
        <v>449.95</v>
      </c>
      <c r="S51" s="5">
        <v>8549.0499999999993</v>
      </c>
      <c r="T51" s="5">
        <v>1709.81</v>
      </c>
      <c r="U51" s="3" t="s">
        <v>68</v>
      </c>
      <c r="V51" s="3" t="s">
        <v>43</v>
      </c>
      <c r="W51" s="3" t="s">
        <v>44</v>
      </c>
    </row>
  </sheetData>
  <mergeCells count="4">
    <mergeCell ref="X1:AD1"/>
    <mergeCell ref="Y2:AD2"/>
    <mergeCell ref="Y3:AD3"/>
    <mergeCell ref="Y4:AD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13FA-FED6-464F-BF74-748AD563A64B}">
  <dimension ref="A1:H14"/>
  <sheetViews>
    <sheetView workbookViewId="0">
      <selection activeCell="C14" sqref="C14"/>
    </sheetView>
  </sheetViews>
  <sheetFormatPr defaultRowHeight="15" x14ac:dyDescent="0.25"/>
  <cols>
    <col min="1" max="1" width="12.140625" bestFit="1" customWidth="1"/>
    <col min="2" max="2" width="26" customWidth="1"/>
    <col min="3" max="3" width="11.7109375" bestFit="1" customWidth="1"/>
    <col min="6" max="6" width="31.85546875" bestFit="1" customWidth="1"/>
    <col min="7" max="7" width="12.85546875" bestFit="1" customWidth="1"/>
  </cols>
  <sheetData>
    <row r="1" spans="1:8" ht="15.75" x14ac:dyDescent="0.25">
      <c r="A1" s="35" t="s">
        <v>198</v>
      </c>
      <c r="B1" s="35" t="s">
        <v>2</v>
      </c>
      <c r="C1" s="35" t="s">
        <v>3</v>
      </c>
      <c r="D1" s="35" t="s">
        <v>199</v>
      </c>
      <c r="F1" s="53" t="s">
        <v>210</v>
      </c>
      <c r="G1" s="54"/>
      <c r="H1" s="55"/>
    </row>
    <row r="2" spans="1:8" x14ac:dyDescent="0.25">
      <c r="A2" s="36">
        <v>201</v>
      </c>
      <c r="B2" s="36" t="s">
        <v>200</v>
      </c>
      <c r="C2" s="3" t="s">
        <v>25</v>
      </c>
      <c r="D2" s="37">
        <v>28000</v>
      </c>
      <c r="E2" s="34"/>
    </row>
    <row r="3" spans="1:8" x14ac:dyDescent="0.25">
      <c r="A3" s="36">
        <v>202</v>
      </c>
      <c r="B3" s="36" t="s">
        <v>201</v>
      </c>
      <c r="C3" s="3" t="s">
        <v>47</v>
      </c>
      <c r="D3" s="37">
        <v>32000</v>
      </c>
      <c r="F3" s="17" t="s">
        <v>147</v>
      </c>
      <c r="G3" t="s">
        <v>209</v>
      </c>
    </row>
    <row r="4" spans="1:8" x14ac:dyDescent="0.25">
      <c r="A4" s="36">
        <v>203</v>
      </c>
      <c r="B4" s="36" t="s">
        <v>202</v>
      </c>
      <c r="C4" s="3" t="s">
        <v>56</v>
      </c>
      <c r="D4" s="37">
        <v>35000</v>
      </c>
      <c r="F4" s="31" t="s">
        <v>82</v>
      </c>
      <c r="G4" s="32">
        <v>29000</v>
      </c>
    </row>
    <row r="5" spans="1:8" x14ac:dyDescent="0.25">
      <c r="A5" s="36">
        <v>204</v>
      </c>
      <c r="B5" s="36" t="s">
        <v>84</v>
      </c>
      <c r="C5" s="3" t="s">
        <v>47</v>
      </c>
      <c r="D5" s="37">
        <v>30000</v>
      </c>
      <c r="F5" s="31" t="s">
        <v>47</v>
      </c>
      <c r="G5" s="32">
        <v>132000</v>
      </c>
    </row>
    <row r="6" spans="1:8" x14ac:dyDescent="0.25">
      <c r="A6" s="36">
        <v>205</v>
      </c>
      <c r="B6" s="36" t="s">
        <v>203</v>
      </c>
      <c r="C6" s="3" t="s">
        <v>82</v>
      </c>
      <c r="D6" s="37">
        <v>29000</v>
      </c>
      <c r="F6" s="31" t="s">
        <v>91</v>
      </c>
      <c r="G6" s="32">
        <v>27000</v>
      </c>
    </row>
    <row r="7" spans="1:8" x14ac:dyDescent="0.25">
      <c r="A7" s="36">
        <v>206</v>
      </c>
      <c r="B7" s="36" t="s">
        <v>204</v>
      </c>
      <c r="C7" s="3" t="s">
        <v>47</v>
      </c>
      <c r="D7" s="37">
        <v>34000</v>
      </c>
      <c r="F7" s="31" t="s">
        <v>56</v>
      </c>
      <c r="G7" s="32">
        <v>68000</v>
      </c>
    </row>
    <row r="8" spans="1:8" x14ac:dyDescent="0.25">
      <c r="A8" s="36">
        <v>207</v>
      </c>
      <c r="B8" s="36" t="s">
        <v>205</v>
      </c>
      <c r="C8" s="3" t="s">
        <v>91</v>
      </c>
      <c r="D8" s="37">
        <v>27000</v>
      </c>
      <c r="F8" s="31" t="s">
        <v>25</v>
      </c>
      <c r="G8" s="32">
        <v>59000</v>
      </c>
    </row>
    <row r="9" spans="1:8" x14ac:dyDescent="0.25">
      <c r="A9" s="36">
        <v>208</v>
      </c>
      <c r="B9" s="36" t="s">
        <v>206</v>
      </c>
      <c r="C9" s="3" t="s">
        <v>25</v>
      </c>
      <c r="D9" s="37">
        <v>31000</v>
      </c>
      <c r="F9" s="31" t="s">
        <v>148</v>
      </c>
      <c r="G9" s="32">
        <v>315000</v>
      </c>
    </row>
    <row r="10" spans="1:8" x14ac:dyDescent="0.25">
      <c r="A10" s="36">
        <v>209</v>
      </c>
      <c r="B10" s="36" t="s">
        <v>207</v>
      </c>
      <c r="C10" s="3" t="s">
        <v>47</v>
      </c>
      <c r="D10" s="37">
        <v>36000</v>
      </c>
    </row>
    <row r="11" spans="1:8" x14ac:dyDescent="0.25">
      <c r="A11" s="36">
        <v>210</v>
      </c>
      <c r="B11" s="36" t="s">
        <v>208</v>
      </c>
      <c r="C11" s="3" t="s">
        <v>56</v>
      </c>
      <c r="D11" s="37">
        <v>33000</v>
      </c>
    </row>
    <row r="12" spans="1:8" ht="15.75" x14ac:dyDescent="0.25">
      <c r="A12" s="49" t="s">
        <v>210</v>
      </c>
      <c r="B12" s="49"/>
      <c r="C12" s="6">
        <f>SUMIF(C2:C11,"Marketing",D2:D11)</f>
        <v>132000</v>
      </c>
      <c r="F12" s="38" t="s">
        <v>211</v>
      </c>
      <c r="G12" s="6">
        <f>SUMIF(D2:D11,"&gt;30000",D2:D11)</f>
        <v>201000</v>
      </c>
    </row>
    <row r="14" spans="1:8" ht="15.75" x14ac:dyDescent="0.25">
      <c r="A14" s="49" t="s">
        <v>216</v>
      </c>
      <c r="B14" s="49"/>
      <c r="C14" s="6">
        <f>SUMIF(C2:C11,"Sales",D2:D11)</f>
        <v>59000</v>
      </c>
    </row>
  </sheetData>
  <mergeCells count="3">
    <mergeCell ref="A12:B12"/>
    <mergeCell ref="F1:H1"/>
    <mergeCell ref="A14:B1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BD94-1B15-42DD-9102-C9B20566CE9F}">
  <dimension ref="A1:AB52"/>
  <sheetViews>
    <sheetView topLeftCell="L36" workbookViewId="0">
      <selection activeCell="T52" sqref="T52"/>
    </sheetView>
  </sheetViews>
  <sheetFormatPr defaultRowHeight="15" x14ac:dyDescent="0.25"/>
  <cols>
    <col min="1" max="16" width="10.7109375" customWidth="1"/>
    <col min="17" max="17" width="11" bestFit="1" customWidth="1"/>
    <col min="18" max="18" width="10.7109375" customWidth="1"/>
    <col min="19" max="19" width="12.140625" customWidth="1"/>
    <col min="20" max="23" width="10.7109375" customWidth="1"/>
    <col min="26" max="27" width="17.85546875" bestFit="1" customWidth="1"/>
    <col min="28" max="28" width="14.4257812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8" x14ac:dyDescent="0.25">
      <c r="A2" s="3" t="s">
        <v>23</v>
      </c>
      <c r="B2" s="3">
        <v>101</v>
      </c>
      <c r="C2" s="3" t="s">
        <v>24</v>
      </c>
      <c r="D2" s="3" t="s">
        <v>25</v>
      </c>
      <c r="E2" s="3" t="s">
        <v>26</v>
      </c>
      <c r="F2" s="3" t="s">
        <v>27</v>
      </c>
      <c r="G2" s="4">
        <v>45662</v>
      </c>
      <c r="H2" s="3">
        <v>25</v>
      </c>
      <c r="I2" s="3" t="s">
        <v>28</v>
      </c>
      <c r="J2" s="3" t="s">
        <v>29</v>
      </c>
      <c r="K2" s="3" t="s">
        <v>30</v>
      </c>
      <c r="L2" s="3" t="s">
        <v>31</v>
      </c>
      <c r="M2" s="4">
        <v>46027</v>
      </c>
      <c r="N2" s="3">
        <v>1</v>
      </c>
      <c r="O2" s="5">
        <v>69999</v>
      </c>
      <c r="P2" s="3">
        <v>0</v>
      </c>
      <c r="Q2" s="5">
        <v>69999</v>
      </c>
      <c r="R2" s="5">
        <v>0</v>
      </c>
      <c r="S2" s="5">
        <v>69999</v>
      </c>
      <c r="T2" s="5">
        <v>6999.9000000000005</v>
      </c>
      <c r="U2" s="3" t="s">
        <v>32</v>
      </c>
      <c r="V2" s="3" t="s">
        <v>33</v>
      </c>
      <c r="W2" s="3" t="s">
        <v>34</v>
      </c>
      <c r="Y2" s="6">
        <f>SUMIF(W2:W51,"ABC Ltd",S2:S51)</f>
        <v>501143.36</v>
      </c>
    </row>
    <row r="3" spans="1:28" ht="15.75" x14ac:dyDescent="0.25">
      <c r="A3" s="3" t="s">
        <v>35</v>
      </c>
      <c r="B3" s="3">
        <v>102</v>
      </c>
      <c r="C3" s="3" t="s">
        <v>36</v>
      </c>
      <c r="D3" s="3" t="s">
        <v>25</v>
      </c>
      <c r="E3" s="3" t="s">
        <v>37</v>
      </c>
      <c r="F3" s="3" t="s">
        <v>38</v>
      </c>
      <c r="G3" s="4">
        <v>45665</v>
      </c>
      <c r="H3" s="3">
        <v>24</v>
      </c>
      <c r="I3" s="3" t="s">
        <v>39</v>
      </c>
      <c r="J3" s="3" t="s">
        <v>40</v>
      </c>
      <c r="K3" s="3" t="s">
        <v>41</v>
      </c>
      <c r="L3" s="3" t="s">
        <v>31</v>
      </c>
      <c r="M3" s="4">
        <v>46029</v>
      </c>
      <c r="N3" s="3">
        <v>2</v>
      </c>
      <c r="O3" s="5">
        <v>30999</v>
      </c>
      <c r="P3" s="3">
        <v>5</v>
      </c>
      <c r="Q3" s="5">
        <v>61998</v>
      </c>
      <c r="R3" s="5">
        <v>3099.9</v>
      </c>
      <c r="S3" s="5">
        <v>58898.1</v>
      </c>
      <c r="T3" s="5">
        <v>11779.62</v>
      </c>
      <c r="U3" s="3" t="s">
        <v>42</v>
      </c>
      <c r="V3" s="3" t="s">
        <v>43</v>
      </c>
      <c r="W3" s="3" t="s">
        <v>44</v>
      </c>
      <c r="X3" s="49" t="s">
        <v>213</v>
      </c>
      <c r="Y3" s="49"/>
      <c r="Z3" s="49"/>
      <c r="AA3" s="49"/>
      <c r="AB3" s="49"/>
    </row>
    <row r="4" spans="1:28" x14ac:dyDescent="0.25">
      <c r="A4" s="3" t="s">
        <v>45</v>
      </c>
      <c r="B4" s="3">
        <v>103</v>
      </c>
      <c r="C4" s="3" t="s">
        <v>46</v>
      </c>
      <c r="D4" s="3" t="s">
        <v>47</v>
      </c>
      <c r="E4" s="3" t="s">
        <v>26</v>
      </c>
      <c r="F4" s="3" t="s">
        <v>38</v>
      </c>
      <c r="G4" s="4">
        <v>45669</v>
      </c>
      <c r="H4" s="3">
        <v>23</v>
      </c>
      <c r="I4" s="3" t="s">
        <v>48</v>
      </c>
      <c r="J4" s="3" t="s">
        <v>49</v>
      </c>
      <c r="K4" s="3" t="s">
        <v>50</v>
      </c>
      <c r="L4" s="3" t="s">
        <v>31</v>
      </c>
      <c r="M4" s="4">
        <v>46031</v>
      </c>
      <c r="N4" s="3">
        <v>1</v>
      </c>
      <c r="O4" s="5">
        <v>16999</v>
      </c>
      <c r="P4" s="3">
        <v>10</v>
      </c>
      <c r="Q4" s="5">
        <v>16999</v>
      </c>
      <c r="R4" s="5">
        <v>1699.9</v>
      </c>
      <c r="S4" s="5">
        <v>15299.1</v>
      </c>
      <c r="T4" s="5">
        <v>3824.7750000000001</v>
      </c>
      <c r="U4" s="3" t="s">
        <v>51</v>
      </c>
      <c r="V4" s="3" t="s">
        <v>52</v>
      </c>
      <c r="W4" s="3" t="s">
        <v>53</v>
      </c>
    </row>
    <row r="5" spans="1:28" x14ac:dyDescent="0.25">
      <c r="A5" s="3" t="s">
        <v>54</v>
      </c>
      <c r="B5" s="3">
        <v>104</v>
      </c>
      <c r="C5" s="3" t="s">
        <v>55</v>
      </c>
      <c r="D5" s="3" t="s">
        <v>56</v>
      </c>
      <c r="E5" s="3" t="s">
        <v>26</v>
      </c>
      <c r="F5" s="3" t="s">
        <v>38</v>
      </c>
      <c r="G5" s="4">
        <v>45672</v>
      </c>
      <c r="H5" s="3">
        <v>26</v>
      </c>
      <c r="I5" s="3" t="s">
        <v>57</v>
      </c>
      <c r="J5" s="3" t="s">
        <v>58</v>
      </c>
      <c r="K5" s="3" t="s">
        <v>59</v>
      </c>
      <c r="L5" s="3" t="s">
        <v>31</v>
      </c>
      <c r="M5" s="4">
        <v>46033</v>
      </c>
      <c r="N5" s="3">
        <v>3</v>
      </c>
      <c r="O5" s="5">
        <v>27999</v>
      </c>
      <c r="P5" s="3">
        <v>5</v>
      </c>
      <c r="Q5" s="5">
        <v>83997</v>
      </c>
      <c r="R5" s="5">
        <v>4199.8500000000004</v>
      </c>
      <c r="S5" s="5">
        <v>79797.149999999994</v>
      </c>
      <c r="T5" s="5">
        <v>23939.145</v>
      </c>
      <c r="U5" s="3" t="s">
        <v>60</v>
      </c>
      <c r="V5" s="3" t="s">
        <v>33</v>
      </c>
      <c r="W5" s="3" t="s">
        <v>61</v>
      </c>
      <c r="Y5" s="6">
        <f>SUMIF(N2:N51,"&gt;3",N2:N51)</f>
        <v>45</v>
      </c>
    </row>
    <row r="6" spans="1:28" ht="15.75" x14ac:dyDescent="0.25">
      <c r="A6" s="3" t="s">
        <v>62</v>
      </c>
      <c r="B6" s="3">
        <v>105</v>
      </c>
      <c r="C6" s="3" t="s">
        <v>63</v>
      </c>
      <c r="D6" s="3" t="s">
        <v>56</v>
      </c>
      <c r="E6" s="3" t="s">
        <v>64</v>
      </c>
      <c r="F6" s="3" t="s">
        <v>38</v>
      </c>
      <c r="G6" s="4">
        <v>45677</v>
      </c>
      <c r="H6" s="3">
        <v>22</v>
      </c>
      <c r="I6" s="3" t="s">
        <v>65</v>
      </c>
      <c r="J6" s="3" t="s">
        <v>66</v>
      </c>
      <c r="K6" s="3" t="s">
        <v>41</v>
      </c>
      <c r="L6" s="3" t="s">
        <v>67</v>
      </c>
      <c r="M6" s="4">
        <v>46035</v>
      </c>
      <c r="N6" s="3">
        <v>2</v>
      </c>
      <c r="O6" s="5">
        <v>8999</v>
      </c>
      <c r="P6" s="3">
        <v>8</v>
      </c>
      <c r="Q6" s="5">
        <v>17998</v>
      </c>
      <c r="R6" s="5">
        <v>1439.84</v>
      </c>
      <c r="S6" s="5">
        <v>16558.16</v>
      </c>
      <c r="T6" s="5">
        <v>1655.816</v>
      </c>
      <c r="U6" s="3" t="s">
        <v>68</v>
      </c>
      <c r="V6" s="3" t="s">
        <v>43</v>
      </c>
      <c r="W6" s="3" t="s">
        <v>69</v>
      </c>
      <c r="X6" s="49" t="s">
        <v>214</v>
      </c>
      <c r="Y6" s="49"/>
      <c r="Z6" s="49"/>
      <c r="AA6" s="49"/>
    </row>
    <row r="7" spans="1:28" x14ac:dyDescent="0.25">
      <c r="A7" s="3" t="s">
        <v>70</v>
      </c>
      <c r="B7" s="3">
        <v>106</v>
      </c>
      <c r="C7" s="3" t="s">
        <v>71</v>
      </c>
      <c r="D7" s="3" t="s">
        <v>56</v>
      </c>
      <c r="E7" s="3" t="s">
        <v>26</v>
      </c>
      <c r="F7" s="3" t="s">
        <v>38</v>
      </c>
      <c r="G7" s="4">
        <v>45679</v>
      </c>
      <c r="H7" s="3">
        <v>24</v>
      </c>
      <c r="I7" s="3" t="s">
        <v>28</v>
      </c>
      <c r="J7" s="3" t="s">
        <v>29</v>
      </c>
      <c r="K7" s="3" t="s">
        <v>30</v>
      </c>
      <c r="L7" s="3" t="s">
        <v>31</v>
      </c>
      <c r="M7" s="4">
        <v>46037</v>
      </c>
      <c r="N7" s="3">
        <v>4</v>
      </c>
      <c r="O7" s="5">
        <v>69999</v>
      </c>
      <c r="P7" s="3">
        <v>12</v>
      </c>
      <c r="Q7" s="5">
        <v>279996</v>
      </c>
      <c r="R7" s="5">
        <v>33599.519999999997</v>
      </c>
      <c r="S7" s="5">
        <v>246396.48</v>
      </c>
      <c r="T7" s="5">
        <v>49279.296000000002</v>
      </c>
      <c r="U7" s="3" t="s">
        <v>32</v>
      </c>
      <c r="V7" s="3" t="s">
        <v>52</v>
      </c>
      <c r="W7" s="3" t="s">
        <v>72</v>
      </c>
    </row>
    <row r="8" spans="1:28" ht="15.75" x14ac:dyDescent="0.25">
      <c r="A8" s="3" t="s">
        <v>73</v>
      </c>
      <c r="B8" s="3">
        <v>107</v>
      </c>
      <c r="C8" s="3" t="s">
        <v>74</v>
      </c>
      <c r="D8" s="3" t="s">
        <v>25</v>
      </c>
      <c r="E8" s="3" t="s">
        <v>26</v>
      </c>
      <c r="F8" s="3" t="s">
        <v>27</v>
      </c>
      <c r="G8" s="4">
        <v>45682</v>
      </c>
      <c r="H8" s="3">
        <v>27</v>
      </c>
      <c r="I8" s="3" t="s">
        <v>39</v>
      </c>
      <c r="J8" s="3" t="s">
        <v>40</v>
      </c>
      <c r="K8" s="3" t="s">
        <v>41</v>
      </c>
      <c r="L8" s="3" t="s">
        <v>31</v>
      </c>
      <c r="M8" s="4">
        <v>46039</v>
      </c>
      <c r="N8" s="3">
        <v>1</v>
      </c>
      <c r="O8" s="5">
        <v>30999</v>
      </c>
      <c r="P8" s="3">
        <v>0</v>
      </c>
      <c r="Q8" s="5">
        <v>30999</v>
      </c>
      <c r="R8" s="5">
        <v>0</v>
      </c>
      <c r="S8" s="5">
        <v>30999</v>
      </c>
      <c r="T8" s="5">
        <v>7749.75</v>
      </c>
      <c r="U8" s="3" t="s">
        <v>42</v>
      </c>
      <c r="V8" s="3" t="s">
        <v>33</v>
      </c>
      <c r="W8" s="3" t="s">
        <v>34</v>
      </c>
      <c r="X8" s="49" t="s">
        <v>215</v>
      </c>
      <c r="Y8" s="49"/>
      <c r="Z8" s="49"/>
    </row>
    <row r="9" spans="1:28" x14ac:dyDescent="0.25">
      <c r="A9" s="3" t="s">
        <v>75</v>
      </c>
      <c r="B9" s="3">
        <v>108</v>
      </c>
      <c r="C9" s="3" t="s">
        <v>76</v>
      </c>
      <c r="D9" s="3" t="s">
        <v>47</v>
      </c>
      <c r="E9" s="3" t="s">
        <v>37</v>
      </c>
      <c r="F9" s="3" t="s">
        <v>27</v>
      </c>
      <c r="G9" s="4">
        <v>45685</v>
      </c>
      <c r="H9" s="3">
        <v>21</v>
      </c>
      <c r="I9" s="3" t="s">
        <v>48</v>
      </c>
      <c r="J9" s="3" t="s">
        <v>49</v>
      </c>
      <c r="K9" s="3" t="s">
        <v>50</v>
      </c>
      <c r="L9" s="3" t="s">
        <v>31</v>
      </c>
      <c r="M9" s="4">
        <v>46041</v>
      </c>
      <c r="N9" s="3">
        <v>2</v>
      </c>
      <c r="O9" s="5">
        <v>16999</v>
      </c>
      <c r="P9" s="3">
        <v>7</v>
      </c>
      <c r="Q9" s="5">
        <v>33998</v>
      </c>
      <c r="R9" s="5">
        <v>2379.86</v>
      </c>
      <c r="S9" s="5">
        <v>31618.14</v>
      </c>
      <c r="T9" s="5">
        <v>9485.4419999999991</v>
      </c>
      <c r="U9" s="3" t="s">
        <v>51</v>
      </c>
      <c r="V9" s="3" t="s">
        <v>43</v>
      </c>
      <c r="W9" s="3" t="s">
        <v>44</v>
      </c>
      <c r="Y9" s="6">
        <f>COUNTIF(D2:D51,"Sales")</f>
        <v>9</v>
      </c>
    </row>
    <row r="10" spans="1:28" x14ac:dyDescent="0.25">
      <c r="A10" s="3" t="s">
        <v>77</v>
      </c>
      <c r="B10" s="3">
        <v>109</v>
      </c>
      <c r="C10" s="3" t="s">
        <v>78</v>
      </c>
      <c r="D10" s="3" t="s">
        <v>79</v>
      </c>
      <c r="E10" s="3" t="s">
        <v>64</v>
      </c>
      <c r="F10" s="3" t="s">
        <v>27</v>
      </c>
      <c r="G10" s="4">
        <v>45690</v>
      </c>
      <c r="H10" s="3">
        <v>26</v>
      </c>
      <c r="I10" s="3" t="s">
        <v>57</v>
      </c>
      <c r="J10" s="3" t="s">
        <v>58</v>
      </c>
      <c r="K10" s="3" t="s">
        <v>59</v>
      </c>
      <c r="L10" s="3" t="s">
        <v>31</v>
      </c>
      <c r="M10" s="4">
        <v>46043</v>
      </c>
      <c r="N10" s="3">
        <v>5</v>
      </c>
      <c r="O10" s="5">
        <v>27999</v>
      </c>
      <c r="P10" s="3">
        <v>10</v>
      </c>
      <c r="Q10" s="5">
        <v>139995</v>
      </c>
      <c r="R10" s="5">
        <v>13999.5</v>
      </c>
      <c r="S10" s="5">
        <v>125995.5</v>
      </c>
      <c r="T10" s="5">
        <v>12599.55</v>
      </c>
      <c r="U10" s="3" t="s">
        <v>60</v>
      </c>
      <c r="V10" s="3" t="s">
        <v>52</v>
      </c>
      <c r="W10" s="3" t="s">
        <v>53</v>
      </c>
    </row>
    <row r="11" spans="1:28" x14ac:dyDescent="0.25">
      <c r="A11" s="3" t="s">
        <v>80</v>
      </c>
      <c r="B11" s="3">
        <v>110</v>
      </c>
      <c r="C11" s="3" t="s">
        <v>81</v>
      </c>
      <c r="D11" s="3" t="s">
        <v>82</v>
      </c>
      <c r="E11" s="3" t="s">
        <v>26</v>
      </c>
      <c r="F11" s="3" t="s">
        <v>38</v>
      </c>
      <c r="G11" s="4">
        <v>45693</v>
      </c>
      <c r="H11" s="3">
        <v>25</v>
      </c>
      <c r="I11" s="3" t="s">
        <v>65</v>
      </c>
      <c r="J11" s="3" t="s">
        <v>66</v>
      </c>
      <c r="K11" s="3" t="s">
        <v>41</v>
      </c>
      <c r="L11" s="3" t="s">
        <v>67</v>
      </c>
      <c r="M11" s="4">
        <v>46045</v>
      </c>
      <c r="N11" s="3">
        <v>1</v>
      </c>
      <c r="O11" s="5">
        <v>8999</v>
      </c>
      <c r="P11" s="3">
        <v>5</v>
      </c>
      <c r="Q11" s="5">
        <v>8999</v>
      </c>
      <c r="R11" s="5">
        <v>449.95</v>
      </c>
      <c r="S11" s="5">
        <v>8549.0499999999993</v>
      </c>
      <c r="T11" s="5">
        <v>1709.81</v>
      </c>
      <c r="U11" s="3" t="s">
        <v>68</v>
      </c>
      <c r="V11" s="3" t="s">
        <v>33</v>
      </c>
      <c r="W11" s="3" t="s">
        <v>61</v>
      </c>
    </row>
    <row r="12" spans="1:28" x14ac:dyDescent="0.25">
      <c r="A12" s="3" t="s">
        <v>83</v>
      </c>
      <c r="B12" s="3">
        <v>111</v>
      </c>
      <c r="C12" s="3" t="s">
        <v>84</v>
      </c>
      <c r="D12" s="3" t="s">
        <v>79</v>
      </c>
      <c r="E12" s="3" t="s">
        <v>37</v>
      </c>
      <c r="F12" s="3" t="s">
        <v>38</v>
      </c>
      <c r="G12" s="4">
        <v>45696</v>
      </c>
      <c r="H12" s="3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4">
        <v>46047</v>
      </c>
      <c r="N12" s="3">
        <v>1</v>
      </c>
      <c r="O12" s="5">
        <v>69999</v>
      </c>
      <c r="P12" s="3">
        <v>0</v>
      </c>
      <c r="Q12" s="5">
        <v>69999</v>
      </c>
      <c r="R12" s="5">
        <v>0</v>
      </c>
      <c r="S12" s="5">
        <v>69999</v>
      </c>
      <c r="T12" s="5">
        <v>17499.75</v>
      </c>
      <c r="U12" s="3" t="s">
        <v>32</v>
      </c>
      <c r="V12" s="3" t="s">
        <v>43</v>
      </c>
      <c r="W12" s="3" t="s">
        <v>69</v>
      </c>
    </row>
    <row r="13" spans="1:28" x14ac:dyDescent="0.25">
      <c r="A13" s="3" t="s">
        <v>85</v>
      </c>
      <c r="B13" s="3">
        <v>112</v>
      </c>
      <c r="C13" s="3" t="s">
        <v>86</v>
      </c>
      <c r="D13" s="3" t="s">
        <v>87</v>
      </c>
      <c r="E13" s="3" t="s">
        <v>88</v>
      </c>
      <c r="F13" s="3" t="s">
        <v>38</v>
      </c>
      <c r="G13" s="4">
        <v>45700</v>
      </c>
      <c r="H13" s="3">
        <v>28</v>
      </c>
      <c r="I13" s="3" t="s">
        <v>39</v>
      </c>
      <c r="J13" s="3" t="s">
        <v>40</v>
      </c>
      <c r="K13" s="3" t="s">
        <v>41</v>
      </c>
      <c r="L13" s="3" t="s">
        <v>31</v>
      </c>
      <c r="M13" s="4">
        <v>46049</v>
      </c>
      <c r="N13" s="3">
        <v>2</v>
      </c>
      <c r="O13" s="5">
        <v>30999</v>
      </c>
      <c r="P13" s="3">
        <v>5</v>
      </c>
      <c r="Q13" s="5">
        <v>61998</v>
      </c>
      <c r="R13" s="5">
        <v>3099.9</v>
      </c>
      <c r="S13" s="5">
        <v>58898.1</v>
      </c>
      <c r="T13" s="5">
        <v>17669.43</v>
      </c>
      <c r="U13" s="3" t="s">
        <v>42</v>
      </c>
      <c r="V13" s="3" t="s">
        <v>52</v>
      </c>
      <c r="W13" s="3" t="s">
        <v>72</v>
      </c>
    </row>
    <row r="14" spans="1:28" x14ac:dyDescent="0.25">
      <c r="A14" s="3" t="s">
        <v>89</v>
      </c>
      <c r="B14" s="3">
        <v>113</v>
      </c>
      <c r="C14" s="3" t="s">
        <v>90</v>
      </c>
      <c r="D14" s="3" t="s">
        <v>91</v>
      </c>
      <c r="E14" s="3" t="s">
        <v>26</v>
      </c>
      <c r="F14" s="3" t="s">
        <v>38</v>
      </c>
      <c r="G14" s="4">
        <v>45703</v>
      </c>
      <c r="H14" s="3">
        <v>20</v>
      </c>
      <c r="I14" s="3" t="s">
        <v>48</v>
      </c>
      <c r="J14" s="3" t="s">
        <v>49</v>
      </c>
      <c r="K14" s="3" t="s">
        <v>50</v>
      </c>
      <c r="L14" s="3" t="s">
        <v>31</v>
      </c>
      <c r="M14" s="4">
        <v>46051</v>
      </c>
      <c r="N14" s="3">
        <v>1</v>
      </c>
      <c r="O14" s="5">
        <v>16999</v>
      </c>
      <c r="P14" s="3">
        <v>10</v>
      </c>
      <c r="Q14" s="5">
        <v>16999</v>
      </c>
      <c r="R14" s="5">
        <v>1699.9</v>
      </c>
      <c r="S14" s="5">
        <v>15299.1</v>
      </c>
      <c r="T14" s="5">
        <v>1529.91</v>
      </c>
      <c r="U14" s="3" t="s">
        <v>51</v>
      </c>
      <c r="V14" s="3" t="s">
        <v>33</v>
      </c>
      <c r="W14" s="3" t="s">
        <v>34</v>
      </c>
    </row>
    <row r="15" spans="1:28" x14ac:dyDescent="0.25">
      <c r="A15" s="3" t="s">
        <v>92</v>
      </c>
      <c r="B15" s="3">
        <v>114</v>
      </c>
      <c r="C15" s="3" t="s">
        <v>93</v>
      </c>
      <c r="D15" s="3" t="s">
        <v>91</v>
      </c>
      <c r="E15" s="3" t="s">
        <v>26</v>
      </c>
      <c r="F15" s="3" t="s">
        <v>38</v>
      </c>
      <c r="G15" s="4">
        <v>45706</v>
      </c>
      <c r="H15" s="3">
        <v>22</v>
      </c>
      <c r="I15" s="3" t="s">
        <v>57</v>
      </c>
      <c r="J15" s="3" t="s">
        <v>58</v>
      </c>
      <c r="K15" s="3" t="s">
        <v>59</v>
      </c>
      <c r="L15" s="3" t="s">
        <v>31</v>
      </c>
      <c r="M15" s="4">
        <v>46053</v>
      </c>
      <c r="N15" s="3">
        <v>3</v>
      </c>
      <c r="O15" s="5">
        <v>27999</v>
      </c>
      <c r="P15" s="3">
        <v>5</v>
      </c>
      <c r="Q15" s="5">
        <v>83997</v>
      </c>
      <c r="R15" s="5">
        <v>4199.8500000000004</v>
      </c>
      <c r="S15" s="5">
        <v>79797.149999999994</v>
      </c>
      <c r="T15" s="5">
        <v>15959.43</v>
      </c>
      <c r="U15" s="3" t="s">
        <v>60</v>
      </c>
      <c r="V15" s="3" t="s">
        <v>43</v>
      </c>
      <c r="W15" s="3" t="s">
        <v>44</v>
      </c>
    </row>
    <row r="16" spans="1:28" x14ac:dyDescent="0.25">
      <c r="A16" s="3" t="s">
        <v>94</v>
      </c>
      <c r="B16" s="3">
        <v>115</v>
      </c>
      <c r="C16" s="3" t="s">
        <v>95</v>
      </c>
      <c r="D16" s="3" t="s">
        <v>82</v>
      </c>
      <c r="E16" s="3" t="s">
        <v>37</v>
      </c>
      <c r="F16" s="3" t="s">
        <v>27</v>
      </c>
      <c r="G16" s="4">
        <v>45708</v>
      </c>
      <c r="H16" s="3">
        <v>24</v>
      </c>
      <c r="I16" s="3" t="s">
        <v>65</v>
      </c>
      <c r="J16" s="3" t="s">
        <v>66</v>
      </c>
      <c r="K16" s="3" t="s">
        <v>41</v>
      </c>
      <c r="L16" s="3" t="s">
        <v>67</v>
      </c>
      <c r="M16" s="4">
        <v>46055</v>
      </c>
      <c r="N16" s="3">
        <v>2</v>
      </c>
      <c r="O16" s="5">
        <v>8999</v>
      </c>
      <c r="P16" s="3">
        <v>8</v>
      </c>
      <c r="Q16" s="5">
        <v>17998</v>
      </c>
      <c r="R16" s="5">
        <v>1439.84</v>
      </c>
      <c r="S16" s="5">
        <v>16558.16</v>
      </c>
      <c r="T16" s="5">
        <v>4139.54</v>
      </c>
      <c r="U16" s="3" t="s">
        <v>68</v>
      </c>
      <c r="V16" s="3" t="s">
        <v>52</v>
      </c>
      <c r="W16" s="3" t="s">
        <v>53</v>
      </c>
    </row>
    <row r="17" spans="1:23" x14ac:dyDescent="0.25">
      <c r="A17" s="3" t="s">
        <v>96</v>
      </c>
      <c r="B17" s="3">
        <v>116</v>
      </c>
      <c r="C17" s="3" t="s">
        <v>97</v>
      </c>
      <c r="D17" s="3" t="s">
        <v>82</v>
      </c>
      <c r="E17" s="3" t="s">
        <v>64</v>
      </c>
      <c r="F17" s="3" t="s">
        <v>27</v>
      </c>
      <c r="G17" s="4">
        <v>45710</v>
      </c>
      <c r="H17" s="3">
        <v>23</v>
      </c>
      <c r="I17" s="3" t="s">
        <v>28</v>
      </c>
      <c r="J17" s="3" t="s">
        <v>29</v>
      </c>
      <c r="K17" s="3" t="s">
        <v>30</v>
      </c>
      <c r="L17" s="3" t="s">
        <v>31</v>
      </c>
      <c r="M17" s="4">
        <v>46057</v>
      </c>
      <c r="N17" s="3">
        <v>4</v>
      </c>
      <c r="O17" s="5">
        <v>69999</v>
      </c>
      <c r="P17" s="3">
        <v>12</v>
      </c>
      <c r="Q17" s="5">
        <v>279996</v>
      </c>
      <c r="R17" s="5">
        <v>33599.519999999997</v>
      </c>
      <c r="S17" s="5">
        <v>246396.48</v>
      </c>
      <c r="T17" s="5">
        <v>73918.944000000003</v>
      </c>
      <c r="U17" s="3" t="s">
        <v>32</v>
      </c>
      <c r="V17" s="3" t="s">
        <v>33</v>
      </c>
      <c r="W17" s="3" t="s">
        <v>61</v>
      </c>
    </row>
    <row r="18" spans="1:23" x14ac:dyDescent="0.25">
      <c r="A18" s="3" t="s">
        <v>98</v>
      </c>
      <c r="B18" s="3">
        <v>117</v>
      </c>
      <c r="C18" s="3" t="s">
        <v>99</v>
      </c>
      <c r="D18" s="3" t="s">
        <v>47</v>
      </c>
      <c r="E18" s="3" t="s">
        <v>26</v>
      </c>
      <c r="F18" s="3" t="s">
        <v>38</v>
      </c>
      <c r="G18" s="4">
        <v>45713</v>
      </c>
      <c r="H18" s="3">
        <v>26</v>
      </c>
      <c r="I18" s="3" t="s">
        <v>39</v>
      </c>
      <c r="J18" s="3" t="s">
        <v>40</v>
      </c>
      <c r="K18" s="3" t="s">
        <v>41</v>
      </c>
      <c r="L18" s="3" t="s">
        <v>31</v>
      </c>
      <c r="M18" s="4">
        <v>46059</v>
      </c>
      <c r="N18" s="3">
        <v>1</v>
      </c>
      <c r="O18" s="5">
        <v>30999</v>
      </c>
      <c r="P18" s="3">
        <v>0</v>
      </c>
      <c r="Q18" s="5">
        <v>30999</v>
      </c>
      <c r="R18" s="5">
        <v>0</v>
      </c>
      <c r="S18" s="5">
        <v>30999</v>
      </c>
      <c r="T18" s="5">
        <v>3099.9</v>
      </c>
      <c r="U18" s="3" t="s">
        <v>42</v>
      </c>
      <c r="V18" s="3" t="s">
        <v>43</v>
      </c>
      <c r="W18" s="3" t="s">
        <v>69</v>
      </c>
    </row>
    <row r="19" spans="1:23" x14ac:dyDescent="0.25">
      <c r="A19" s="3" t="s">
        <v>100</v>
      </c>
      <c r="B19" s="3">
        <v>101</v>
      </c>
      <c r="C19" s="3" t="s">
        <v>24</v>
      </c>
      <c r="D19" s="3" t="s">
        <v>25</v>
      </c>
      <c r="E19" s="3" t="s">
        <v>26</v>
      </c>
      <c r="F19" s="3" t="s">
        <v>27</v>
      </c>
      <c r="G19" s="4">
        <v>45662</v>
      </c>
      <c r="H19" s="3">
        <v>25</v>
      </c>
      <c r="I19" s="3" t="s">
        <v>48</v>
      </c>
      <c r="J19" s="3" t="s">
        <v>49</v>
      </c>
      <c r="K19" s="3" t="s">
        <v>50</v>
      </c>
      <c r="L19" s="3" t="s">
        <v>31</v>
      </c>
      <c r="M19" s="4">
        <v>46061</v>
      </c>
      <c r="N19" s="3">
        <v>2</v>
      </c>
      <c r="O19" s="5">
        <v>16999</v>
      </c>
      <c r="P19" s="3">
        <v>7</v>
      </c>
      <c r="Q19" s="5">
        <v>33998</v>
      </c>
      <c r="R19" s="5">
        <v>2379.86</v>
      </c>
      <c r="S19" s="5">
        <v>31618.14</v>
      </c>
      <c r="T19" s="5">
        <v>6323.6280000000006</v>
      </c>
      <c r="U19" s="3" t="s">
        <v>51</v>
      </c>
      <c r="V19" s="3" t="s">
        <v>52</v>
      </c>
      <c r="W19" s="3" t="s">
        <v>72</v>
      </c>
    </row>
    <row r="20" spans="1:23" x14ac:dyDescent="0.25">
      <c r="A20" s="3" t="s">
        <v>101</v>
      </c>
      <c r="B20" s="3">
        <v>102</v>
      </c>
      <c r="C20" s="3" t="s">
        <v>36</v>
      </c>
      <c r="D20" s="3" t="s">
        <v>25</v>
      </c>
      <c r="E20" s="3" t="s">
        <v>37</v>
      </c>
      <c r="F20" s="3" t="s">
        <v>38</v>
      </c>
      <c r="G20" s="4">
        <v>45665</v>
      </c>
      <c r="H20" s="3">
        <v>24</v>
      </c>
      <c r="I20" s="3" t="s">
        <v>57</v>
      </c>
      <c r="J20" s="3" t="s">
        <v>58</v>
      </c>
      <c r="K20" s="3" t="s">
        <v>59</v>
      </c>
      <c r="L20" s="3" t="s">
        <v>31</v>
      </c>
      <c r="M20" s="4">
        <v>46063</v>
      </c>
      <c r="N20" s="3">
        <v>5</v>
      </c>
      <c r="O20" s="5">
        <v>27999</v>
      </c>
      <c r="P20" s="3">
        <v>10</v>
      </c>
      <c r="Q20" s="5">
        <v>139995</v>
      </c>
      <c r="R20" s="5">
        <v>13999.5</v>
      </c>
      <c r="S20" s="5">
        <v>125995.5</v>
      </c>
      <c r="T20" s="5">
        <v>31498.875</v>
      </c>
      <c r="U20" s="3" t="s">
        <v>60</v>
      </c>
      <c r="V20" s="3" t="s">
        <v>33</v>
      </c>
      <c r="W20" s="3" t="s">
        <v>34</v>
      </c>
    </row>
    <row r="21" spans="1:23" x14ac:dyDescent="0.25">
      <c r="A21" s="3" t="s">
        <v>102</v>
      </c>
      <c r="B21" s="3">
        <v>103</v>
      </c>
      <c r="C21" s="3" t="s">
        <v>46</v>
      </c>
      <c r="D21" s="3" t="s">
        <v>47</v>
      </c>
      <c r="E21" s="3" t="s">
        <v>26</v>
      </c>
      <c r="F21" s="3" t="s">
        <v>38</v>
      </c>
      <c r="G21" s="4">
        <v>45669</v>
      </c>
      <c r="H21" s="3">
        <v>23</v>
      </c>
      <c r="I21" s="3" t="s">
        <v>65</v>
      </c>
      <c r="J21" s="3" t="s">
        <v>66</v>
      </c>
      <c r="K21" s="3" t="s">
        <v>41</v>
      </c>
      <c r="L21" s="3" t="s">
        <v>67</v>
      </c>
      <c r="M21" s="4">
        <v>46065</v>
      </c>
      <c r="N21" s="3">
        <v>1</v>
      </c>
      <c r="O21" s="5">
        <v>8999</v>
      </c>
      <c r="P21" s="3">
        <v>5</v>
      </c>
      <c r="Q21" s="5">
        <v>8999</v>
      </c>
      <c r="R21" s="5">
        <v>449.95</v>
      </c>
      <c r="S21" s="5">
        <v>8549.0499999999993</v>
      </c>
      <c r="T21" s="5">
        <v>2564.7150000000001</v>
      </c>
      <c r="U21" s="3" t="s">
        <v>68</v>
      </c>
      <c r="V21" s="3" t="s">
        <v>43</v>
      </c>
      <c r="W21" s="3" t="s">
        <v>44</v>
      </c>
    </row>
    <row r="22" spans="1:23" x14ac:dyDescent="0.25">
      <c r="A22" s="3" t="s">
        <v>103</v>
      </c>
      <c r="B22" s="3">
        <v>104</v>
      </c>
      <c r="C22" s="3" t="s">
        <v>55</v>
      </c>
      <c r="D22" s="3" t="s">
        <v>56</v>
      </c>
      <c r="E22" s="3" t="s">
        <v>26</v>
      </c>
      <c r="F22" s="3" t="s">
        <v>38</v>
      </c>
      <c r="G22" s="4">
        <v>45672</v>
      </c>
      <c r="H22" s="3">
        <v>26</v>
      </c>
      <c r="I22" s="3" t="s">
        <v>28</v>
      </c>
      <c r="J22" s="3" t="s">
        <v>29</v>
      </c>
      <c r="K22" s="3" t="s">
        <v>30</v>
      </c>
      <c r="L22" s="3" t="s">
        <v>31</v>
      </c>
      <c r="M22" s="4">
        <v>46067</v>
      </c>
      <c r="N22" s="3">
        <v>1</v>
      </c>
      <c r="O22" s="5">
        <v>69999</v>
      </c>
      <c r="P22" s="3">
        <v>0</v>
      </c>
      <c r="Q22" s="5">
        <v>69999</v>
      </c>
      <c r="R22" s="5">
        <v>0</v>
      </c>
      <c r="S22" s="5">
        <v>69999</v>
      </c>
      <c r="T22" s="5">
        <v>6999.9000000000005</v>
      </c>
      <c r="U22" s="3" t="s">
        <v>32</v>
      </c>
      <c r="V22" s="3" t="s">
        <v>52</v>
      </c>
      <c r="W22" s="3" t="s">
        <v>53</v>
      </c>
    </row>
    <row r="23" spans="1:23" x14ac:dyDescent="0.25">
      <c r="A23" s="3" t="s">
        <v>104</v>
      </c>
      <c r="B23" s="3">
        <v>105</v>
      </c>
      <c r="C23" s="3" t="s">
        <v>63</v>
      </c>
      <c r="D23" s="3" t="s">
        <v>56</v>
      </c>
      <c r="E23" s="3" t="s">
        <v>64</v>
      </c>
      <c r="F23" s="3" t="s">
        <v>38</v>
      </c>
      <c r="G23" s="4">
        <v>45677</v>
      </c>
      <c r="H23" s="3">
        <v>22</v>
      </c>
      <c r="I23" s="3" t="s">
        <v>39</v>
      </c>
      <c r="J23" s="3" t="s">
        <v>40</v>
      </c>
      <c r="K23" s="3" t="s">
        <v>41</v>
      </c>
      <c r="L23" s="3" t="s">
        <v>31</v>
      </c>
      <c r="M23" s="4">
        <v>46069</v>
      </c>
      <c r="N23" s="3">
        <v>2</v>
      </c>
      <c r="O23" s="5">
        <v>30999</v>
      </c>
      <c r="P23" s="3">
        <v>5</v>
      </c>
      <c r="Q23" s="5">
        <v>61998</v>
      </c>
      <c r="R23" s="5">
        <v>3099.9</v>
      </c>
      <c r="S23" s="5">
        <v>58898.1</v>
      </c>
      <c r="T23" s="5">
        <v>11779.62</v>
      </c>
      <c r="U23" s="3" t="s">
        <v>42</v>
      </c>
      <c r="V23" s="3" t="s">
        <v>33</v>
      </c>
      <c r="W23" s="3" t="s">
        <v>61</v>
      </c>
    </row>
    <row r="24" spans="1:23" x14ac:dyDescent="0.25">
      <c r="A24" s="3" t="s">
        <v>105</v>
      </c>
      <c r="B24" s="3">
        <v>106</v>
      </c>
      <c r="C24" s="3" t="s">
        <v>71</v>
      </c>
      <c r="D24" s="3" t="s">
        <v>56</v>
      </c>
      <c r="E24" s="3" t="s">
        <v>26</v>
      </c>
      <c r="F24" s="3" t="s">
        <v>38</v>
      </c>
      <c r="G24" s="4">
        <v>45679</v>
      </c>
      <c r="H24" s="3">
        <v>24</v>
      </c>
      <c r="I24" s="3" t="s">
        <v>48</v>
      </c>
      <c r="J24" s="3" t="s">
        <v>49</v>
      </c>
      <c r="K24" s="3" t="s">
        <v>50</v>
      </c>
      <c r="L24" s="3" t="s">
        <v>31</v>
      </c>
      <c r="M24" s="4">
        <v>46071</v>
      </c>
      <c r="N24" s="3">
        <v>1</v>
      </c>
      <c r="O24" s="5">
        <v>16999</v>
      </c>
      <c r="P24" s="3">
        <v>10</v>
      </c>
      <c r="Q24" s="5">
        <v>16999</v>
      </c>
      <c r="R24" s="5">
        <v>1699.9</v>
      </c>
      <c r="S24" s="5">
        <v>15299.1</v>
      </c>
      <c r="T24" s="5">
        <v>3824.7750000000001</v>
      </c>
      <c r="U24" s="3" t="s">
        <v>51</v>
      </c>
      <c r="V24" s="3" t="s">
        <v>43</v>
      </c>
      <c r="W24" s="3" t="s">
        <v>69</v>
      </c>
    </row>
    <row r="25" spans="1:23" x14ac:dyDescent="0.25">
      <c r="A25" s="3" t="s">
        <v>106</v>
      </c>
      <c r="B25" s="3">
        <v>107</v>
      </c>
      <c r="C25" s="3" t="s">
        <v>74</v>
      </c>
      <c r="D25" s="3" t="s">
        <v>25</v>
      </c>
      <c r="E25" s="3" t="s">
        <v>26</v>
      </c>
      <c r="F25" s="3" t="s">
        <v>27</v>
      </c>
      <c r="G25" s="4">
        <v>45682</v>
      </c>
      <c r="H25" s="3">
        <v>27</v>
      </c>
      <c r="I25" s="3" t="s">
        <v>57</v>
      </c>
      <c r="J25" s="3" t="s">
        <v>58</v>
      </c>
      <c r="K25" s="3" t="s">
        <v>59</v>
      </c>
      <c r="L25" s="3" t="s">
        <v>31</v>
      </c>
      <c r="M25" s="4">
        <v>46073</v>
      </c>
      <c r="N25" s="3">
        <v>3</v>
      </c>
      <c r="O25" s="5">
        <v>27999</v>
      </c>
      <c r="P25" s="3">
        <v>5</v>
      </c>
      <c r="Q25" s="5">
        <v>83997</v>
      </c>
      <c r="R25" s="5">
        <v>4199.8500000000004</v>
      </c>
      <c r="S25" s="5">
        <v>79797.149999999994</v>
      </c>
      <c r="T25" s="5">
        <v>23939.145</v>
      </c>
      <c r="U25" s="3" t="s">
        <v>60</v>
      </c>
      <c r="V25" s="3" t="s">
        <v>52</v>
      </c>
      <c r="W25" s="3" t="s">
        <v>72</v>
      </c>
    </row>
    <row r="26" spans="1:23" x14ac:dyDescent="0.25">
      <c r="A26" s="3" t="s">
        <v>107</v>
      </c>
      <c r="B26" s="3">
        <v>108</v>
      </c>
      <c r="C26" s="3" t="s">
        <v>76</v>
      </c>
      <c r="D26" s="3" t="s">
        <v>47</v>
      </c>
      <c r="E26" s="3" t="s">
        <v>37</v>
      </c>
      <c r="F26" s="3" t="s">
        <v>27</v>
      </c>
      <c r="G26" s="4">
        <v>45685</v>
      </c>
      <c r="H26" s="3">
        <v>21</v>
      </c>
      <c r="I26" s="3" t="s">
        <v>65</v>
      </c>
      <c r="J26" s="3" t="s">
        <v>66</v>
      </c>
      <c r="K26" s="3" t="s">
        <v>41</v>
      </c>
      <c r="L26" s="3" t="s">
        <v>67</v>
      </c>
      <c r="M26" s="4">
        <v>46075</v>
      </c>
      <c r="N26" s="3">
        <v>2</v>
      </c>
      <c r="O26" s="5">
        <v>8999</v>
      </c>
      <c r="P26" s="3">
        <v>8</v>
      </c>
      <c r="Q26" s="5">
        <v>17998</v>
      </c>
      <c r="R26" s="5">
        <v>1439.84</v>
      </c>
      <c r="S26" s="5">
        <v>16558.16</v>
      </c>
      <c r="T26" s="5">
        <v>1655.816</v>
      </c>
      <c r="U26" s="3" t="s">
        <v>68</v>
      </c>
      <c r="V26" s="3" t="s">
        <v>33</v>
      </c>
      <c r="W26" s="3" t="s">
        <v>34</v>
      </c>
    </row>
    <row r="27" spans="1:23" x14ac:dyDescent="0.25">
      <c r="A27" s="3" t="s">
        <v>108</v>
      </c>
      <c r="B27" s="3">
        <v>109</v>
      </c>
      <c r="C27" s="3" t="s">
        <v>78</v>
      </c>
      <c r="D27" s="3" t="s">
        <v>79</v>
      </c>
      <c r="E27" s="3" t="s">
        <v>64</v>
      </c>
      <c r="F27" s="3" t="s">
        <v>27</v>
      </c>
      <c r="G27" s="4">
        <v>45690</v>
      </c>
      <c r="H27" s="3">
        <v>26</v>
      </c>
      <c r="I27" s="3" t="s">
        <v>28</v>
      </c>
      <c r="J27" s="3" t="s">
        <v>29</v>
      </c>
      <c r="K27" s="3" t="s">
        <v>30</v>
      </c>
      <c r="L27" s="3" t="s">
        <v>31</v>
      </c>
      <c r="M27" s="4">
        <v>46077</v>
      </c>
      <c r="N27" s="3">
        <v>4</v>
      </c>
      <c r="O27" s="5">
        <v>69999</v>
      </c>
      <c r="P27" s="3">
        <v>12</v>
      </c>
      <c r="Q27" s="5">
        <v>279996</v>
      </c>
      <c r="R27" s="5">
        <v>33599.519999999997</v>
      </c>
      <c r="S27" s="5">
        <v>246396.48</v>
      </c>
      <c r="T27" s="5">
        <v>49279.296000000002</v>
      </c>
      <c r="U27" s="3" t="s">
        <v>32</v>
      </c>
      <c r="V27" s="3" t="s">
        <v>43</v>
      </c>
      <c r="W27" s="3" t="s">
        <v>44</v>
      </c>
    </row>
    <row r="28" spans="1:23" x14ac:dyDescent="0.25">
      <c r="A28" s="3" t="s">
        <v>109</v>
      </c>
      <c r="B28" s="3">
        <v>110</v>
      </c>
      <c r="C28" s="3" t="s">
        <v>81</v>
      </c>
      <c r="D28" s="3" t="s">
        <v>82</v>
      </c>
      <c r="E28" s="3" t="s">
        <v>26</v>
      </c>
      <c r="F28" s="3" t="s">
        <v>38</v>
      </c>
      <c r="G28" s="4">
        <v>45693</v>
      </c>
      <c r="H28" s="3">
        <v>25</v>
      </c>
      <c r="I28" s="3" t="s">
        <v>39</v>
      </c>
      <c r="J28" s="3" t="s">
        <v>40</v>
      </c>
      <c r="K28" s="3" t="s">
        <v>41</v>
      </c>
      <c r="L28" s="3" t="s">
        <v>31</v>
      </c>
      <c r="M28" s="4">
        <v>46079</v>
      </c>
      <c r="N28" s="3">
        <v>1</v>
      </c>
      <c r="O28" s="5">
        <v>30999</v>
      </c>
      <c r="P28" s="3">
        <v>0</v>
      </c>
      <c r="Q28" s="5">
        <v>30999</v>
      </c>
      <c r="R28" s="5">
        <v>0</v>
      </c>
      <c r="S28" s="5">
        <v>30999</v>
      </c>
      <c r="T28" s="5">
        <v>7749.75</v>
      </c>
      <c r="U28" s="3" t="s">
        <v>42</v>
      </c>
      <c r="V28" s="3" t="s">
        <v>52</v>
      </c>
      <c r="W28" s="3" t="s">
        <v>53</v>
      </c>
    </row>
    <row r="29" spans="1:23" x14ac:dyDescent="0.25">
      <c r="A29" s="3" t="s">
        <v>110</v>
      </c>
      <c r="B29" s="3">
        <v>111</v>
      </c>
      <c r="C29" s="3" t="s">
        <v>84</v>
      </c>
      <c r="D29" s="3" t="s">
        <v>79</v>
      </c>
      <c r="E29" s="3" t="s">
        <v>37</v>
      </c>
      <c r="F29" s="3" t="s">
        <v>38</v>
      </c>
      <c r="G29" s="4">
        <v>45696</v>
      </c>
      <c r="H29" s="3">
        <v>27</v>
      </c>
      <c r="I29" s="3" t="s">
        <v>48</v>
      </c>
      <c r="J29" s="3" t="s">
        <v>49</v>
      </c>
      <c r="K29" s="3" t="s">
        <v>50</v>
      </c>
      <c r="L29" s="3" t="s">
        <v>31</v>
      </c>
      <c r="M29" s="4">
        <v>46081</v>
      </c>
      <c r="N29" s="3">
        <v>2</v>
      </c>
      <c r="O29" s="5">
        <v>16999</v>
      </c>
      <c r="P29" s="3">
        <v>7</v>
      </c>
      <c r="Q29" s="5">
        <v>33998</v>
      </c>
      <c r="R29" s="5">
        <v>2379.86</v>
      </c>
      <c r="S29" s="5">
        <v>31618.14</v>
      </c>
      <c r="T29" s="5">
        <v>9485.4419999999991</v>
      </c>
      <c r="U29" s="3" t="s">
        <v>51</v>
      </c>
      <c r="V29" s="3" t="s">
        <v>33</v>
      </c>
      <c r="W29" s="3" t="s">
        <v>61</v>
      </c>
    </row>
    <row r="30" spans="1:23" x14ac:dyDescent="0.25">
      <c r="A30" s="3" t="s">
        <v>111</v>
      </c>
      <c r="B30" s="3">
        <v>112</v>
      </c>
      <c r="C30" s="3" t="s">
        <v>86</v>
      </c>
      <c r="D30" s="3" t="s">
        <v>87</v>
      </c>
      <c r="E30" s="3" t="s">
        <v>88</v>
      </c>
      <c r="F30" s="3" t="s">
        <v>38</v>
      </c>
      <c r="G30" s="4">
        <v>45700</v>
      </c>
      <c r="H30" s="3">
        <v>28</v>
      </c>
      <c r="I30" s="3" t="s">
        <v>57</v>
      </c>
      <c r="J30" s="3" t="s">
        <v>58</v>
      </c>
      <c r="K30" s="3" t="s">
        <v>59</v>
      </c>
      <c r="L30" s="3" t="s">
        <v>31</v>
      </c>
      <c r="M30" s="4">
        <v>46083</v>
      </c>
      <c r="N30" s="3">
        <v>5</v>
      </c>
      <c r="O30" s="5">
        <v>27999</v>
      </c>
      <c r="P30" s="3">
        <v>10</v>
      </c>
      <c r="Q30" s="5">
        <v>139995</v>
      </c>
      <c r="R30" s="5">
        <v>13999.5</v>
      </c>
      <c r="S30" s="5">
        <v>125995.5</v>
      </c>
      <c r="T30" s="5">
        <v>12599.55</v>
      </c>
      <c r="U30" s="3" t="s">
        <v>60</v>
      </c>
      <c r="V30" s="3" t="s">
        <v>43</v>
      </c>
      <c r="W30" s="3" t="s">
        <v>69</v>
      </c>
    </row>
    <row r="31" spans="1:23" x14ac:dyDescent="0.25">
      <c r="A31" s="3" t="s">
        <v>112</v>
      </c>
      <c r="B31" s="3">
        <v>113</v>
      </c>
      <c r="C31" s="3" t="s">
        <v>90</v>
      </c>
      <c r="D31" s="3" t="s">
        <v>91</v>
      </c>
      <c r="E31" s="3" t="s">
        <v>26</v>
      </c>
      <c r="F31" s="3" t="s">
        <v>38</v>
      </c>
      <c r="G31" s="4">
        <v>45703</v>
      </c>
      <c r="H31" s="3">
        <v>20</v>
      </c>
      <c r="I31" s="3" t="s">
        <v>65</v>
      </c>
      <c r="J31" s="3" t="s">
        <v>66</v>
      </c>
      <c r="K31" s="3" t="s">
        <v>41</v>
      </c>
      <c r="L31" s="3" t="s">
        <v>67</v>
      </c>
      <c r="M31" s="4">
        <v>46085</v>
      </c>
      <c r="N31" s="3">
        <v>1</v>
      </c>
      <c r="O31" s="5">
        <v>8999</v>
      </c>
      <c r="P31" s="3">
        <v>5</v>
      </c>
      <c r="Q31" s="5">
        <v>8999</v>
      </c>
      <c r="R31" s="5">
        <v>449.95</v>
      </c>
      <c r="S31" s="5">
        <v>8549.0499999999993</v>
      </c>
      <c r="T31" s="5">
        <v>1709.81</v>
      </c>
      <c r="U31" s="3" t="s">
        <v>68</v>
      </c>
      <c r="V31" s="3" t="s">
        <v>52</v>
      </c>
      <c r="W31" s="3" t="s">
        <v>72</v>
      </c>
    </row>
    <row r="32" spans="1:23" x14ac:dyDescent="0.25">
      <c r="A32" s="3" t="s">
        <v>113</v>
      </c>
      <c r="B32" s="3">
        <v>114</v>
      </c>
      <c r="C32" s="3" t="s">
        <v>93</v>
      </c>
      <c r="D32" s="3" t="s">
        <v>91</v>
      </c>
      <c r="E32" s="3" t="s">
        <v>26</v>
      </c>
      <c r="F32" s="3" t="s">
        <v>38</v>
      </c>
      <c r="G32" s="4">
        <v>45706</v>
      </c>
      <c r="H32" s="3">
        <v>22</v>
      </c>
      <c r="I32" s="3" t="s">
        <v>28</v>
      </c>
      <c r="J32" s="3" t="s">
        <v>29</v>
      </c>
      <c r="K32" s="3" t="s">
        <v>30</v>
      </c>
      <c r="L32" s="3" t="s">
        <v>31</v>
      </c>
      <c r="M32" s="4">
        <v>46087</v>
      </c>
      <c r="N32" s="3">
        <v>1</v>
      </c>
      <c r="O32" s="5">
        <v>69999</v>
      </c>
      <c r="P32" s="3">
        <v>0</v>
      </c>
      <c r="Q32" s="5">
        <v>69999</v>
      </c>
      <c r="R32" s="5">
        <v>0</v>
      </c>
      <c r="S32" s="5">
        <v>69999</v>
      </c>
      <c r="T32" s="5">
        <v>17499.75</v>
      </c>
      <c r="U32" s="3" t="s">
        <v>32</v>
      </c>
      <c r="V32" s="3" t="s">
        <v>33</v>
      </c>
      <c r="W32" s="3" t="s">
        <v>34</v>
      </c>
    </row>
    <row r="33" spans="1:23" x14ac:dyDescent="0.25">
      <c r="A33" s="3" t="s">
        <v>114</v>
      </c>
      <c r="B33" s="3">
        <v>115</v>
      </c>
      <c r="C33" s="3" t="s">
        <v>95</v>
      </c>
      <c r="D33" s="3" t="s">
        <v>82</v>
      </c>
      <c r="E33" s="3" t="s">
        <v>37</v>
      </c>
      <c r="F33" s="3" t="s">
        <v>27</v>
      </c>
      <c r="G33" s="4">
        <v>45708</v>
      </c>
      <c r="H33" s="3">
        <v>24</v>
      </c>
      <c r="I33" s="3" t="s">
        <v>39</v>
      </c>
      <c r="J33" s="3" t="s">
        <v>40</v>
      </c>
      <c r="K33" s="3" t="s">
        <v>41</v>
      </c>
      <c r="L33" s="3" t="s">
        <v>31</v>
      </c>
      <c r="M33" s="4">
        <v>46089</v>
      </c>
      <c r="N33" s="3">
        <v>2</v>
      </c>
      <c r="O33" s="5">
        <v>30999</v>
      </c>
      <c r="P33" s="3">
        <v>5</v>
      </c>
      <c r="Q33" s="5">
        <v>61998</v>
      </c>
      <c r="R33" s="5">
        <v>3099.9</v>
      </c>
      <c r="S33" s="5">
        <v>58898.1</v>
      </c>
      <c r="T33" s="5">
        <v>17669.43</v>
      </c>
      <c r="U33" s="3" t="s">
        <v>42</v>
      </c>
      <c r="V33" s="3" t="s">
        <v>43</v>
      </c>
      <c r="W33" s="3" t="s">
        <v>44</v>
      </c>
    </row>
    <row r="34" spans="1:23" x14ac:dyDescent="0.25">
      <c r="A34" s="3" t="s">
        <v>115</v>
      </c>
      <c r="B34" s="3">
        <v>116</v>
      </c>
      <c r="C34" s="3" t="s">
        <v>97</v>
      </c>
      <c r="D34" s="3" t="s">
        <v>82</v>
      </c>
      <c r="E34" s="3" t="s">
        <v>64</v>
      </c>
      <c r="F34" s="3" t="s">
        <v>27</v>
      </c>
      <c r="G34" s="4">
        <v>45710</v>
      </c>
      <c r="H34" s="3">
        <v>23</v>
      </c>
      <c r="I34" s="3" t="s">
        <v>48</v>
      </c>
      <c r="J34" s="3" t="s">
        <v>49</v>
      </c>
      <c r="K34" s="3" t="s">
        <v>50</v>
      </c>
      <c r="L34" s="3" t="s">
        <v>31</v>
      </c>
      <c r="M34" s="4">
        <v>46091</v>
      </c>
      <c r="N34" s="3">
        <v>1</v>
      </c>
      <c r="O34" s="5">
        <v>16999</v>
      </c>
      <c r="P34" s="3">
        <v>10</v>
      </c>
      <c r="Q34" s="5">
        <v>16999</v>
      </c>
      <c r="R34" s="5">
        <v>1699.9</v>
      </c>
      <c r="S34" s="5">
        <v>15299.1</v>
      </c>
      <c r="T34" s="5">
        <v>1529.91</v>
      </c>
      <c r="U34" s="3" t="s">
        <v>51</v>
      </c>
      <c r="V34" s="3" t="s">
        <v>52</v>
      </c>
      <c r="W34" s="3" t="s">
        <v>53</v>
      </c>
    </row>
    <row r="35" spans="1:23" x14ac:dyDescent="0.25">
      <c r="A35" s="3" t="s">
        <v>116</v>
      </c>
      <c r="B35" s="3">
        <v>117</v>
      </c>
      <c r="C35" s="3" t="s">
        <v>99</v>
      </c>
      <c r="D35" s="3" t="s">
        <v>47</v>
      </c>
      <c r="E35" s="3" t="s">
        <v>26</v>
      </c>
      <c r="F35" s="3" t="s">
        <v>38</v>
      </c>
      <c r="G35" s="4">
        <v>45713</v>
      </c>
      <c r="H35" s="3">
        <v>26</v>
      </c>
      <c r="I35" s="3" t="s">
        <v>57</v>
      </c>
      <c r="J35" s="3" t="s">
        <v>58</v>
      </c>
      <c r="K35" s="3" t="s">
        <v>59</v>
      </c>
      <c r="L35" s="3" t="s">
        <v>31</v>
      </c>
      <c r="M35" s="4">
        <v>46093</v>
      </c>
      <c r="N35" s="3">
        <v>3</v>
      </c>
      <c r="O35" s="5">
        <v>27999</v>
      </c>
      <c r="P35" s="3">
        <v>5</v>
      </c>
      <c r="Q35" s="5">
        <v>83997</v>
      </c>
      <c r="R35" s="5">
        <v>4199.8500000000004</v>
      </c>
      <c r="S35" s="5">
        <v>79797.149999999994</v>
      </c>
      <c r="T35" s="5">
        <v>15959.43</v>
      </c>
      <c r="U35" s="3" t="s">
        <v>60</v>
      </c>
      <c r="V35" s="3" t="s">
        <v>33</v>
      </c>
      <c r="W35" s="3" t="s">
        <v>61</v>
      </c>
    </row>
    <row r="36" spans="1:23" x14ac:dyDescent="0.25">
      <c r="A36" s="3" t="s">
        <v>117</v>
      </c>
      <c r="B36" s="3">
        <v>101</v>
      </c>
      <c r="C36" s="3" t="s">
        <v>24</v>
      </c>
      <c r="D36" s="3" t="s">
        <v>25</v>
      </c>
      <c r="E36" s="3" t="s">
        <v>26</v>
      </c>
      <c r="F36" s="3" t="s">
        <v>27</v>
      </c>
      <c r="G36" s="4">
        <v>45662</v>
      </c>
      <c r="H36" s="3">
        <v>25</v>
      </c>
      <c r="I36" s="3" t="s">
        <v>65</v>
      </c>
      <c r="J36" s="3" t="s">
        <v>66</v>
      </c>
      <c r="K36" s="3" t="s">
        <v>41</v>
      </c>
      <c r="L36" s="3" t="s">
        <v>67</v>
      </c>
      <c r="M36" s="4">
        <v>46095</v>
      </c>
      <c r="N36" s="3">
        <v>2</v>
      </c>
      <c r="O36" s="5">
        <v>8999</v>
      </c>
      <c r="P36" s="3">
        <v>8</v>
      </c>
      <c r="Q36" s="5">
        <v>17998</v>
      </c>
      <c r="R36" s="5">
        <v>1439.84</v>
      </c>
      <c r="S36" s="5">
        <v>16558.16</v>
      </c>
      <c r="T36" s="5">
        <v>4139.54</v>
      </c>
      <c r="U36" s="3" t="s">
        <v>68</v>
      </c>
      <c r="V36" s="3" t="s">
        <v>43</v>
      </c>
      <c r="W36" s="3" t="s">
        <v>69</v>
      </c>
    </row>
    <row r="37" spans="1:23" x14ac:dyDescent="0.25">
      <c r="A37" s="3" t="s">
        <v>118</v>
      </c>
      <c r="B37" s="3">
        <v>102</v>
      </c>
      <c r="C37" s="3" t="s">
        <v>36</v>
      </c>
      <c r="D37" s="3" t="s">
        <v>25</v>
      </c>
      <c r="E37" s="3" t="s">
        <v>37</v>
      </c>
      <c r="F37" s="3" t="s">
        <v>38</v>
      </c>
      <c r="G37" s="4">
        <v>45665</v>
      </c>
      <c r="H37" s="3">
        <v>24</v>
      </c>
      <c r="I37" s="3" t="s">
        <v>28</v>
      </c>
      <c r="J37" s="3" t="s">
        <v>29</v>
      </c>
      <c r="K37" s="3" t="s">
        <v>30</v>
      </c>
      <c r="L37" s="3" t="s">
        <v>31</v>
      </c>
      <c r="M37" s="4">
        <v>46097</v>
      </c>
      <c r="N37" s="3">
        <v>4</v>
      </c>
      <c r="O37" s="5">
        <v>69999</v>
      </c>
      <c r="P37" s="3">
        <v>12</v>
      </c>
      <c r="Q37" s="5">
        <v>279996</v>
      </c>
      <c r="R37" s="5">
        <v>33599.519999999997</v>
      </c>
      <c r="S37" s="5">
        <v>246396.48</v>
      </c>
      <c r="T37" s="5">
        <v>73918.944000000003</v>
      </c>
      <c r="U37" s="3" t="s">
        <v>32</v>
      </c>
      <c r="V37" s="3" t="s">
        <v>52</v>
      </c>
      <c r="W37" s="3" t="s">
        <v>72</v>
      </c>
    </row>
    <row r="38" spans="1:23" x14ac:dyDescent="0.25">
      <c r="A38" s="3" t="s">
        <v>119</v>
      </c>
      <c r="B38" s="3">
        <v>103</v>
      </c>
      <c r="C38" s="3" t="s">
        <v>46</v>
      </c>
      <c r="D38" s="3" t="s">
        <v>47</v>
      </c>
      <c r="E38" s="3" t="s">
        <v>26</v>
      </c>
      <c r="F38" s="3" t="s">
        <v>38</v>
      </c>
      <c r="G38" s="4">
        <v>45669</v>
      </c>
      <c r="H38" s="3">
        <v>23</v>
      </c>
      <c r="I38" s="3" t="s">
        <v>39</v>
      </c>
      <c r="J38" s="3" t="s">
        <v>40</v>
      </c>
      <c r="K38" s="3" t="s">
        <v>41</v>
      </c>
      <c r="L38" s="3" t="s">
        <v>31</v>
      </c>
      <c r="M38" s="4">
        <v>46099</v>
      </c>
      <c r="N38" s="3">
        <v>1</v>
      </c>
      <c r="O38" s="5">
        <v>30999</v>
      </c>
      <c r="P38" s="3">
        <v>0</v>
      </c>
      <c r="Q38" s="5">
        <v>30999</v>
      </c>
      <c r="R38" s="5">
        <v>0</v>
      </c>
      <c r="S38" s="5">
        <v>30999</v>
      </c>
      <c r="T38" s="5">
        <v>3099.9</v>
      </c>
      <c r="U38" s="3" t="s">
        <v>42</v>
      </c>
      <c r="V38" s="3" t="s">
        <v>33</v>
      </c>
      <c r="W38" s="3" t="s">
        <v>34</v>
      </c>
    </row>
    <row r="39" spans="1:23" x14ac:dyDescent="0.25">
      <c r="A39" s="3" t="s">
        <v>120</v>
      </c>
      <c r="B39" s="3">
        <v>104</v>
      </c>
      <c r="C39" s="3" t="s">
        <v>55</v>
      </c>
      <c r="D39" s="3" t="s">
        <v>56</v>
      </c>
      <c r="E39" s="3" t="s">
        <v>26</v>
      </c>
      <c r="F39" s="3" t="s">
        <v>38</v>
      </c>
      <c r="G39" s="4">
        <v>45672</v>
      </c>
      <c r="H39" s="3">
        <v>26</v>
      </c>
      <c r="I39" s="3" t="s">
        <v>48</v>
      </c>
      <c r="J39" s="3" t="s">
        <v>49</v>
      </c>
      <c r="K39" s="3" t="s">
        <v>50</v>
      </c>
      <c r="L39" s="3" t="s">
        <v>31</v>
      </c>
      <c r="M39" s="4">
        <v>46101</v>
      </c>
      <c r="N39" s="3">
        <v>2</v>
      </c>
      <c r="O39" s="5">
        <v>16999</v>
      </c>
      <c r="P39" s="3">
        <v>7</v>
      </c>
      <c r="Q39" s="5">
        <v>33998</v>
      </c>
      <c r="R39" s="5">
        <v>2379.86</v>
      </c>
      <c r="S39" s="5">
        <v>31618.14</v>
      </c>
      <c r="T39" s="5">
        <v>6323.6280000000006</v>
      </c>
      <c r="U39" s="3" t="s">
        <v>51</v>
      </c>
      <c r="V39" s="3" t="s">
        <v>43</v>
      </c>
      <c r="W39" s="3" t="s">
        <v>44</v>
      </c>
    </row>
    <row r="40" spans="1:23" x14ac:dyDescent="0.25">
      <c r="A40" s="3" t="s">
        <v>121</v>
      </c>
      <c r="B40" s="3">
        <v>105</v>
      </c>
      <c r="C40" s="3" t="s">
        <v>63</v>
      </c>
      <c r="D40" s="3" t="s">
        <v>56</v>
      </c>
      <c r="E40" s="3" t="s">
        <v>64</v>
      </c>
      <c r="F40" s="3" t="s">
        <v>38</v>
      </c>
      <c r="G40" s="4">
        <v>45677</v>
      </c>
      <c r="H40" s="3">
        <v>22</v>
      </c>
      <c r="I40" s="3" t="s">
        <v>57</v>
      </c>
      <c r="J40" s="3" t="s">
        <v>58</v>
      </c>
      <c r="K40" s="3" t="s">
        <v>59</v>
      </c>
      <c r="L40" s="3" t="s">
        <v>31</v>
      </c>
      <c r="M40" s="4">
        <v>46103</v>
      </c>
      <c r="N40" s="3">
        <v>5</v>
      </c>
      <c r="O40" s="5">
        <v>27999</v>
      </c>
      <c r="P40" s="3">
        <v>10</v>
      </c>
      <c r="Q40" s="5">
        <v>139995</v>
      </c>
      <c r="R40" s="5">
        <v>13999.5</v>
      </c>
      <c r="S40" s="5">
        <v>125995.5</v>
      </c>
      <c r="T40" s="5">
        <v>31498.875</v>
      </c>
      <c r="U40" s="3" t="s">
        <v>60</v>
      </c>
      <c r="V40" s="3" t="s">
        <v>52</v>
      </c>
      <c r="W40" s="3" t="s">
        <v>53</v>
      </c>
    </row>
    <row r="41" spans="1:23" x14ac:dyDescent="0.25">
      <c r="A41" s="3" t="s">
        <v>122</v>
      </c>
      <c r="B41" s="3">
        <v>106</v>
      </c>
      <c r="C41" s="3" t="s">
        <v>71</v>
      </c>
      <c r="D41" s="3" t="s">
        <v>56</v>
      </c>
      <c r="E41" s="3" t="s">
        <v>26</v>
      </c>
      <c r="F41" s="3" t="s">
        <v>38</v>
      </c>
      <c r="G41" s="4">
        <v>45679</v>
      </c>
      <c r="H41" s="3">
        <v>24</v>
      </c>
      <c r="I41" s="3" t="s">
        <v>65</v>
      </c>
      <c r="J41" s="3" t="s">
        <v>66</v>
      </c>
      <c r="K41" s="3" t="s">
        <v>41</v>
      </c>
      <c r="L41" s="3" t="s">
        <v>67</v>
      </c>
      <c r="M41" s="4">
        <v>46105</v>
      </c>
      <c r="N41" s="3">
        <v>1</v>
      </c>
      <c r="O41" s="5">
        <v>8999</v>
      </c>
      <c r="P41" s="3">
        <v>5</v>
      </c>
      <c r="Q41" s="5">
        <v>8999</v>
      </c>
      <c r="R41" s="5">
        <v>449.95</v>
      </c>
      <c r="S41" s="5">
        <v>8549.0499999999993</v>
      </c>
      <c r="T41" s="5">
        <v>2564.7150000000001</v>
      </c>
      <c r="U41" s="3" t="s">
        <v>68</v>
      </c>
      <c r="V41" s="3" t="s">
        <v>33</v>
      </c>
      <c r="W41" s="3" t="s">
        <v>61</v>
      </c>
    </row>
    <row r="42" spans="1:23" x14ac:dyDescent="0.25">
      <c r="A42" s="3" t="s">
        <v>123</v>
      </c>
      <c r="B42" s="3">
        <v>107</v>
      </c>
      <c r="C42" s="3" t="s">
        <v>74</v>
      </c>
      <c r="D42" s="3" t="s">
        <v>25</v>
      </c>
      <c r="E42" s="3" t="s">
        <v>26</v>
      </c>
      <c r="F42" s="3" t="s">
        <v>27</v>
      </c>
      <c r="G42" s="4">
        <v>45682</v>
      </c>
      <c r="H42" s="3">
        <v>27</v>
      </c>
      <c r="I42" s="3" t="s">
        <v>28</v>
      </c>
      <c r="J42" s="3" t="s">
        <v>29</v>
      </c>
      <c r="K42" s="3" t="s">
        <v>30</v>
      </c>
      <c r="L42" s="3" t="s">
        <v>31</v>
      </c>
      <c r="M42" s="4">
        <v>46107</v>
      </c>
      <c r="N42" s="3">
        <v>1</v>
      </c>
      <c r="O42" s="5">
        <v>69999</v>
      </c>
      <c r="P42" s="3">
        <v>0</v>
      </c>
      <c r="Q42" s="5">
        <v>69999</v>
      </c>
      <c r="R42" s="5">
        <v>0</v>
      </c>
      <c r="S42" s="5">
        <v>69999</v>
      </c>
      <c r="T42" s="5">
        <v>6999.9000000000005</v>
      </c>
      <c r="U42" s="3" t="s">
        <v>32</v>
      </c>
      <c r="V42" s="3" t="s">
        <v>43</v>
      </c>
      <c r="W42" s="3" t="s">
        <v>69</v>
      </c>
    </row>
    <row r="43" spans="1:23" x14ac:dyDescent="0.25">
      <c r="A43" s="3" t="s">
        <v>124</v>
      </c>
      <c r="B43" s="3">
        <v>108</v>
      </c>
      <c r="C43" s="3" t="s">
        <v>76</v>
      </c>
      <c r="D43" s="3" t="s">
        <v>47</v>
      </c>
      <c r="E43" s="3" t="s">
        <v>37</v>
      </c>
      <c r="F43" s="3" t="s">
        <v>27</v>
      </c>
      <c r="G43" s="4">
        <v>45685</v>
      </c>
      <c r="H43" s="3">
        <v>21</v>
      </c>
      <c r="I43" s="3" t="s">
        <v>39</v>
      </c>
      <c r="J43" s="3" t="s">
        <v>40</v>
      </c>
      <c r="K43" s="3" t="s">
        <v>41</v>
      </c>
      <c r="L43" s="3" t="s">
        <v>31</v>
      </c>
      <c r="M43" s="4">
        <v>46109</v>
      </c>
      <c r="N43" s="3">
        <v>2</v>
      </c>
      <c r="O43" s="5">
        <v>30999</v>
      </c>
      <c r="P43" s="3">
        <v>5</v>
      </c>
      <c r="Q43" s="5">
        <v>61998</v>
      </c>
      <c r="R43" s="5">
        <v>3099.9</v>
      </c>
      <c r="S43" s="5">
        <v>58898.1</v>
      </c>
      <c r="T43" s="5">
        <v>11779.62</v>
      </c>
      <c r="U43" s="3" t="s">
        <v>42</v>
      </c>
      <c r="V43" s="3" t="s">
        <v>52</v>
      </c>
      <c r="W43" s="3" t="s">
        <v>72</v>
      </c>
    </row>
    <row r="44" spans="1:23" x14ac:dyDescent="0.25">
      <c r="A44" s="3" t="s">
        <v>125</v>
      </c>
      <c r="B44" s="3">
        <v>109</v>
      </c>
      <c r="C44" s="3" t="s">
        <v>78</v>
      </c>
      <c r="D44" s="3" t="s">
        <v>79</v>
      </c>
      <c r="E44" s="3" t="s">
        <v>64</v>
      </c>
      <c r="F44" s="3" t="s">
        <v>27</v>
      </c>
      <c r="G44" s="4">
        <v>45690</v>
      </c>
      <c r="H44" s="3">
        <v>26</v>
      </c>
      <c r="I44" s="3" t="s">
        <v>48</v>
      </c>
      <c r="J44" s="3" t="s">
        <v>49</v>
      </c>
      <c r="K44" s="3" t="s">
        <v>50</v>
      </c>
      <c r="L44" s="3" t="s">
        <v>31</v>
      </c>
      <c r="M44" s="4">
        <v>46111</v>
      </c>
      <c r="N44" s="3">
        <v>1</v>
      </c>
      <c r="O44" s="5">
        <v>16999</v>
      </c>
      <c r="P44" s="3">
        <v>10</v>
      </c>
      <c r="Q44" s="5">
        <v>16999</v>
      </c>
      <c r="R44" s="5">
        <v>1699.9</v>
      </c>
      <c r="S44" s="5">
        <v>15299.1</v>
      </c>
      <c r="T44" s="5">
        <v>3824.7750000000001</v>
      </c>
      <c r="U44" s="3" t="s">
        <v>51</v>
      </c>
      <c r="V44" s="3" t="s">
        <v>33</v>
      </c>
      <c r="W44" s="3" t="s">
        <v>34</v>
      </c>
    </row>
    <row r="45" spans="1:23" x14ac:dyDescent="0.25">
      <c r="A45" s="3" t="s">
        <v>126</v>
      </c>
      <c r="B45" s="3">
        <v>110</v>
      </c>
      <c r="C45" s="3" t="s">
        <v>81</v>
      </c>
      <c r="D45" s="3" t="s">
        <v>82</v>
      </c>
      <c r="E45" s="3" t="s">
        <v>26</v>
      </c>
      <c r="F45" s="3" t="s">
        <v>38</v>
      </c>
      <c r="G45" s="4">
        <v>45693</v>
      </c>
      <c r="H45" s="3">
        <v>25</v>
      </c>
      <c r="I45" s="3" t="s">
        <v>57</v>
      </c>
      <c r="J45" s="3" t="s">
        <v>58</v>
      </c>
      <c r="K45" s="3" t="s">
        <v>59</v>
      </c>
      <c r="L45" s="3" t="s">
        <v>31</v>
      </c>
      <c r="M45" s="4">
        <v>46113</v>
      </c>
      <c r="N45" s="3">
        <v>3</v>
      </c>
      <c r="O45" s="5">
        <v>27999</v>
      </c>
      <c r="P45" s="3">
        <v>5</v>
      </c>
      <c r="Q45" s="5">
        <v>83997</v>
      </c>
      <c r="R45" s="5">
        <v>4199.8500000000004</v>
      </c>
      <c r="S45" s="5">
        <v>79797.149999999994</v>
      </c>
      <c r="T45" s="5">
        <v>23939.145</v>
      </c>
      <c r="U45" s="3" t="s">
        <v>60</v>
      </c>
      <c r="V45" s="3" t="s">
        <v>43</v>
      </c>
      <c r="W45" s="3" t="s">
        <v>44</v>
      </c>
    </row>
    <row r="46" spans="1:23" x14ac:dyDescent="0.25">
      <c r="A46" s="3" t="s">
        <v>127</v>
      </c>
      <c r="B46" s="3">
        <v>111</v>
      </c>
      <c r="C46" s="3" t="s">
        <v>84</v>
      </c>
      <c r="D46" s="3" t="s">
        <v>79</v>
      </c>
      <c r="E46" s="3" t="s">
        <v>37</v>
      </c>
      <c r="F46" s="3" t="s">
        <v>38</v>
      </c>
      <c r="G46" s="4">
        <v>45696</v>
      </c>
      <c r="H46" s="3">
        <v>27</v>
      </c>
      <c r="I46" s="3" t="s">
        <v>65</v>
      </c>
      <c r="J46" s="3" t="s">
        <v>66</v>
      </c>
      <c r="K46" s="3" t="s">
        <v>41</v>
      </c>
      <c r="L46" s="3" t="s">
        <v>67</v>
      </c>
      <c r="M46" s="4">
        <v>46115</v>
      </c>
      <c r="N46" s="3">
        <v>2</v>
      </c>
      <c r="O46" s="5">
        <v>8999</v>
      </c>
      <c r="P46" s="3">
        <v>8</v>
      </c>
      <c r="Q46" s="5">
        <v>17998</v>
      </c>
      <c r="R46" s="5">
        <v>1439.84</v>
      </c>
      <c r="S46" s="5">
        <v>16558.16</v>
      </c>
      <c r="T46" s="5">
        <v>1655.816</v>
      </c>
      <c r="U46" s="3" t="s">
        <v>68</v>
      </c>
      <c r="V46" s="3" t="s">
        <v>52</v>
      </c>
      <c r="W46" s="3" t="s">
        <v>53</v>
      </c>
    </row>
    <row r="47" spans="1:23" x14ac:dyDescent="0.25">
      <c r="A47" s="3" t="s">
        <v>128</v>
      </c>
      <c r="B47" s="3">
        <v>112</v>
      </c>
      <c r="C47" s="3" t="s">
        <v>86</v>
      </c>
      <c r="D47" s="3" t="s">
        <v>87</v>
      </c>
      <c r="E47" s="3" t="s">
        <v>88</v>
      </c>
      <c r="F47" s="3" t="s">
        <v>38</v>
      </c>
      <c r="G47" s="4">
        <v>45700</v>
      </c>
      <c r="H47" s="3">
        <v>28</v>
      </c>
      <c r="I47" s="3" t="s">
        <v>28</v>
      </c>
      <c r="J47" s="3" t="s">
        <v>29</v>
      </c>
      <c r="K47" s="3" t="s">
        <v>30</v>
      </c>
      <c r="L47" s="3" t="s">
        <v>31</v>
      </c>
      <c r="M47" s="4">
        <v>46117</v>
      </c>
      <c r="N47" s="3">
        <v>4</v>
      </c>
      <c r="O47" s="5">
        <v>69999</v>
      </c>
      <c r="P47" s="3">
        <v>12</v>
      </c>
      <c r="Q47" s="5">
        <v>279996</v>
      </c>
      <c r="R47" s="5">
        <v>33599.519999999997</v>
      </c>
      <c r="S47" s="5">
        <v>246396.48</v>
      </c>
      <c r="T47" s="5">
        <v>49279.296000000002</v>
      </c>
      <c r="U47" s="3" t="s">
        <v>32</v>
      </c>
      <c r="V47" s="3" t="s">
        <v>33</v>
      </c>
      <c r="W47" s="3" t="s">
        <v>61</v>
      </c>
    </row>
    <row r="48" spans="1:23" x14ac:dyDescent="0.25">
      <c r="A48" s="3" t="s">
        <v>129</v>
      </c>
      <c r="B48" s="3">
        <v>113</v>
      </c>
      <c r="C48" s="3" t="s">
        <v>90</v>
      </c>
      <c r="D48" s="3" t="s">
        <v>91</v>
      </c>
      <c r="E48" s="3" t="s">
        <v>26</v>
      </c>
      <c r="F48" s="3" t="s">
        <v>38</v>
      </c>
      <c r="G48" s="4">
        <v>45703</v>
      </c>
      <c r="H48" s="3">
        <v>20</v>
      </c>
      <c r="I48" s="3" t="s">
        <v>39</v>
      </c>
      <c r="J48" s="3" t="s">
        <v>40</v>
      </c>
      <c r="K48" s="3" t="s">
        <v>41</v>
      </c>
      <c r="L48" s="3" t="s">
        <v>31</v>
      </c>
      <c r="M48" s="4">
        <v>46119</v>
      </c>
      <c r="N48" s="3">
        <v>1</v>
      </c>
      <c r="O48" s="5">
        <v>30999</v>
      </c>
      <c r="P48" s="3">
        <v>0</v>
      </c>
      <c r="Q48" s="5">
        <v>30999</v>
      </c>
      <c r="R48" s="5">
        <v>0</v>
      </c>
      <c r="S48" s="5">
        <v>30999</v>
      </c>
      <c r="T48" s="5">
        <v>7749.75</v>
      </c>
      <c r="U48" s="3" t="s">
        <v>42</v>
      </c>
      <c r="V48" s="3" t="s">
        <v>43</v>
      </c>
      <c r="W48" s="3" t="s">
        <v>69</v>
      </c>
    </row>
    <row r="49" spans="1:23" x14ac:dyDescent="0.25">
      <c r="A49" s="3" t="s">
        <v>130</v>
      </c>
      <c r="B49" s="3">
        <v>114</v>
      </c>
      <c r="C49" s="3" t="s">
        <v>93</v>
      </c>
      <c r="D49" s="3" t="s">
        <v>91</v>
      </c>
      <c r="E49" s="3" t="s">
        <v>26</v>
      </c>
      <c r="F49" s="3" t="s">
        <v>38</v>
      </c>
      <c r="G49" s="4">
        <v>45706</v>
      </c>
      <c r="H49" s="3">
        <v>22</v>
      </c>
      <c r="I49" s="3" t="s">
        <v>48</v>
      </c>
      <c r="J49" s="3" t="s">
        <v>49</v>
      </c>
      <c r="K49" s="3" t="s">
        <v>50</v>
      </c>
      <c r="L49" s="3" t="s">
        <v>31</v>
      </c>
      <c r="M49" s="4">
        <v>46121</v>
      </c>
      <c r="N49" s="3">
        <v>2</v>
      </c>
      <c r="O49" s="5">
        <v>16999</v>
      </c>
      <c r="P49" s="3">
        <v>7</v>
      </c>
      <c r="Q49" s="5">
        <v>33998</v>
      </c>
      <c r="R49" s="5">
        <v>2379.86</v>
      </c>
      <c r="S49" s="5">
        <v>31618.14</v>
      </c>
      <c r="T49" s="5">
        <v>9485.4419999999991</v>
      </c>
      <c r="U49" s="3" t="s">
        <v>51</v>
      </c>
      <c r="V49" s="3" t="s">
        <v>52</v>
      </c>
      <c r="W49" s="3" t="s">
        <v>72</v>
      </c>
    </row>
    <row r="50" spans="1:23" x14ac:dyDescent="0.25">
      <c r="A50" s="3" t="s">
        <v>131</v>
      </c>
      <c r="B50" s="3">
        <v>115</v>
      </c>
      <c r="C50" s="3" t="s">
        <v>95</v>
      </c>
      <c r="D50" s="3" t="s">
        <v>82</v>
      </c>
      <c r="E50" s="3" t="s">
        <v>37</v>
      </c>
      <c r="F50" s="3" t="s">
        <v>27</v>
      </c>
      <c r="G50" s="4">
        <v>45708</v>
      </c>
      <c r="H50" s="3">
        <v>24</v>
      </c>
      <c r="I50" s="3" t="s">
        <v>57</v>
      </c>
      <c r="J50" s="3" t="s">
        <v>58</v>
      </c>
      <c r="K50" s="3" t="s">
        <v>59</v>
      </c>
      <c r="L50" s="3" t="s">
        <v>31</v>
      </c>
      <c r="M50" s="4">
        <v>46123</v>
      </c>
      <c r="N50" s="3">
        <v>5</v>
      </c>
      <c r="O50" s="5">
        <v>27999</v>
      </c>
      <c r="P50" s="3">
        <v>10</v>
      </c>
      <c r="Q50" s="5">
        <v>139995</v>
      </c>
      <c r="R50" s="5">
        <v>13999.5</v>
      </c>
      <c r="S50" s="5">
        <v>125995.5</v>
      </c>
      <c r="T50" s="5">
        <v>12599.55</v>
      </c>
      <c r="U50" s="3" t="s">
        <v>60</v>
      </c>
      <c r="V50" s="3" t="s">
        <v>33</v>
      </c>
      <c r="W50" s="3" t="s">
        <v>34</v>
      </c>
    </row>
    <row r="51" spans="1:23" x14ac:dyDescent="0.25">
      <c r="A51" s="3" t="s">
        <v>132</v>
      </c>
      <c r="B51" s="3">
        <v>116</v>
      </c>
      <c r="C51" s="3" t="s">
        <v>97</v>
      </c>
      <c r="D51" s="3" t="s">
        <v>82</v>
      </c>
      <c r="E51" s="3" t="s">
        <v>64</v>
      </c>
      <c r="F51" s="3" t="s">
        <v>27</v>
      </c>
      <c r="G51" s="4">
        <v>45710</v>
      </c>
      <c r="H51" s="3">
        <v>23</v>
      </c>
      <c r="I51" s="3" t="s">
        <v>65</v>
      </c>
      <c r="J51" s="3" t="s">
        <v>66</v>
      </c>
      <c r="K51" s="3" t="s">
        <v>41</v>
      </c>
      <c r="L51" s="3" t="s">
        <v>67</v>
      </c>
      <c r="M51" s="4">
        <v>46125</v>
      </c>
      <c r="N51" s="3">
        <v>1</v>
      </c>
      <c r="O51" s="5">
        <v>8999</v>
      </c>
      <c r="P51" s="3">
        <v>5</v>
      </c>
      <c r="Q51" s="5">
        <v>8999</v>
      </c>
      <c r="R51" s="5">
        <v>449.95</v>
      </c>
      <c r="S51" s="5">
        <v>8549.0499999999993</v>
      </c>
      <c r="T51" s="5">
        <v>1709.81</v>
      </c>
      <c r="U51" s="3" t="s">
        <v>68</v>
      </c>
      <c r="V51" s="3" t="s">
        <v>43</v>
      </c>
      <c r="W51" s="3" t="s">
        <v>44</v>
      </c>
    </row>
    <row r="52" spans="1:23" ht="15.75" x14ac:dyDescent="0.25">
      <c r="R52" s="49" t="s">
        <v>212</v>
      </c>
      <c r="S52" s="49"/>
      <c r="T52" s="10">
        <f>SUM(T2:T51)</f>
        <v>735477.55600000022</v>
      </c>
    </row>
  </sheetData>
  <autoFilter ref="A1:W52" xr:uid="{9D0BBD94-1B15-42DD-9102-C9B20566CE9F}"/>
  <mergeCells count="4">
    <mergeCell ref="R52:S52"/>
    <mergeCell ref="X3:AB3"/>
    <mergeCell ref="X6:AA6"/>
    <mergeCell ref="X8:Z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E81B0-D5ED-44E6-A4F8-F921E516791E}">
  <dimension ref="A1:Z51"/>
  <sheetViews>
    <sheetView topLeftCell="L1" zoomScale="98" zoomScaleNormal="178" workbookViewId="0">
      <selection activeCell="Y2" sqref="Y2"/>
    </sheetView>
  </sheetViews>
  <sheetFormatPr defaultRowHeight="15" x14ac:dyDescent="0.25"/>
  <cols>
    <col min="1" max="21" width="10.7109375" customWidth="1"/>
    <col min="22" max="22" width="13.42578125" bestFit="1" customWidth="1"/>
    <col min="23" max="23" width="10.7109375" customWidth="1"/>
    <col min="24" max="24" width="16.140625" customWidth="1"/>
    <col min="25" max="25" width="17" customWidth="1"/>
    <col min="26" max="26" width="21.5703125" customWidth="1"/>
  </cols>
  <sheetData>
    <row r="1" spans="1:2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6" t="s">
        <v>217</v>
      </c>
      <c r="Y1" s="56"/>
      <c r="Z1" s="56"/>
    </row>
    <row r="2" spans="1:26" x14ac:dyDescent="0.25">
      <c r="A2" s="3" t="s">
        <v>23</v>
      </c>
      <c r="B2" s="3">
        <v>101</v>
      </c>
      <c r="C2" s="3" t="s">
        <v>24</v>
      </c>
      <c r="D2" s="3" t="s">
        <v>25</v>
      </c>
      <c r="E2" s="3" t="s">
        <v>26</v>
      </c>
      <c r="F2" s="3" t="s">
        <v>27</v>
      </c>
      <c r="G2" s="4">
        <v>45662</v>
      </c>
      <c r="H2" s="3">
        <v>25</v>
      </c>
      <c r="I2" s="3" t="s">
        <v>28</v>
      </c>
      <c r="J2" s="3" t="s">
        <v>29</v>
      </c>
      <c r="K2" s="3" t="s">
        <v>30</v>
      </c>
      <c r="L2" s="3" t="s">
        <v>31</v>
      </c>
      <c r="M2" s="4">
        <v>46027</v>
      </c>
      <c r="N2" s="3">
        <v>1</v>
      </c>
      <c r="O2" s="5">
        <v>69999</v>
      </c>
      <c r="P2" s="3">
        <v>0</v>
      </c>
      <c r="Q2" s="5">
        <v>69999</v>
      </c>
      <c r="R2" s="5">
        <v>0</v>
      </c>
      <c r="S2" s="10">
        <f>O2*N2-R2</f>
        <v>69999</v>
      </c>
      <c r="T2" s="5">
        <v>6999.9000000000005</v>
      </c>
      <c r="U2" s="3" t="s">
        <v>32</v>
      </c>
      <c r="V2" s="3" t="s">
        <v>33</v>
      </c>
      <c r="W2" s="3" t="s">
        <v>34</v>
      </c>
      <c r="Y2" s="10">
        <f>SUMIFS(S2:S51,V2:V51,"Store",E2:E51,"North")</f>
        <v>393987.49999999994</v>
      </c>
    </row>
    <row r="3" spans="1:26" x14ac:dyDescent="0.25">
      <c r="A3" s="3" t="s">
        <v>35</v>
      </c>
      <c r="B3" s="3">
        <v>102</v>
      </c>
      <c r="C3" s="3" t="s">
        <v>36</v>
      </c>
      <c r="D3" s="3" t="s">
        <v>25</v>
      </c>
      <c r="E3" s="3" t="s">
        <v>37</v>
      </c>
      <c r="F3" s="3" t="s">
        <v>38</v>
      </c>
      <c r="G3" s="4">
        <v>45665</v>
      </c>
      <c r="H3" s="3">
        <v>24</v>
      </c>
      <c r="I3" s="3" t="s">
        <v>39</v>
      </c>
      <c r="J3" s="3" t="s">
        <v>40</v>
      </c>
      <c r="K3" s="3" t="s">
        <v>41</v>
      </c>
      <c r="L3" s="3" t="s">
        <v>31</v>
      </c>
      <c r="M3" s="4">
        <v>46029</v>
      </c>
      <c r="N3" s="3">
        <v>2</v>
      </c>
      <c r="O3" s="5">
        <v>30999</v>
      </c>
      <c r="P3" s="3">
        <v>5</v>
      </c>
      <c r="Q3" s="5">
        <v>61998</v>
      </c>
      <c r="R3" s="5">
        <v>3099.9</v>
      </c>
      <c r="S3" s="10">
        <f t="shared" ref="S3:S51" si="0">O3*N3-R3</f>
        <v>58898.1</v>
      </c>
      <c r="T3" s="5">
        <v>11779.62</v>
      </c>
      <c r="U3" s="3" t="s">
        <v>42</v>
      </c>
      <c r="V3" s="3" t="s">
        <v>43</v>
      </c>
      <c r="W3" s="3" t="s">
        <v>44</v>
      </c>
    </row>
    <row r="4" spans="1:26" x14ac:dyDescent="0.25">
      <c r="A4" s="3" t="s">
        <v>45</v>
      </c>
      <c r="B4" s="3">
        <v>103</v>
      </c>
      <c r="C4" s="3" t="s">
        <v>46</v>
      </c>
      <c r="D4" s="3" t="s">
        <v>47</v>
      </c>
      <c r="E4" s="3" t="s">
        <v>26</v>
      </c>
      <c r="F4" s="3" t="s">
        <v>38</v>
      </c>
      <c r="G4" s="4">
        <v>45669</v>
      </c>
      <c r="H4" s="3">
        <v>23</v>
      </c>
      <c r="I4" s="3" t="s">
        <v>48</v>
      </c>
      <c r="J4" s="3" t="s">
        <v>49</v>
      </c>
      <c r="K4" s="3" t="s">
        <v>50</v>
      </c>
      <c r="L4" s="3" t="s">
        <v>31</v>
      </c>
      <c r="M4" s="4">
        <v>46031</v>
      </c>
      <c r="N4" s="3">
        <v>1</v>
      </c>
      <c r="O4" s="5">
        <v>16999</v>
      </c>
      <c r="P4" s="3">
        <v>10</v>
      </c>
      <c r="Q4" s="5">
        <v>16999</v>
      </c>
      <c r="R4" s="5">
        <v>1699.9</v>
      </c>
      <c r="S4" s="10">
        <f t="shared" si="0"/>
        <v>15299.1</v>
      </c>
      <c r="T4" s="5">
        <v>3824.7750000000001</v>
      </c>
      <c r="U4" s="3" t="s">
        <v>51</v>
      </c>
      <c r="V4" s="3" t="s">
        <v>52</v>
      </c>
      <c r="W4" s="3" t="s">
        <v>53</v>
      </c>
    </row>
    <row r="5" spans="1:26" x14ac:dyDescent="0.25">
      <c r="A5" s="3" t="s">
        <v>54</v>
      </c>
      <c r="B5" s="3">
        <v>104</v>
      </c>
      <c r="C5" s="3" t="s">
        <v>55</v>
      </c>
      <c r="D5" s="3" t="s">
        <v>56</v>
      </c>
      <c r="E5" s="3" t="s">
        <v>26</v>
      </c>
      <c r="F5" s="3" t="s">
        <v>38</v>
      </c>
      <c r="G5" s="4">
        <v>45672</v>
      </c>
      <c r="H5" s="3">
        <v>26</v>
      </c>
      <c r="I5" s="3" t="s">
        <v>57</v>
      </c>
      <c r="J5" s="3" t="s">
        <v>58</v>
      </c>
      <c r="K5" s="3" t="s">
        <v>59</v>
      </c>
      <c r="L5" s="3" t="s">
        <v>31</v>
      </c>
      <c r="M5" s="4">
        <v>46033</v>
      </c>
      <c r="N5" s="3">
        <v>3</v>
      </c>
      <c r="O5" s="5">
        <v>27999</v>
      </c>
      <c r="P5" s="3">
        <v>5</v>
      </c>
      <c r="Q5" s="5">
        <v>83997</v>
      </c>
      <c r="R5" s="5">
        <v>4199.8500000000004</v>
      </c>
      <c r="S5" s="10">
        <f t="shared" si="0"/>
        <v>79797.149999999994</v>
      </c>
      <c r="T5" s="5">
        <v>23939.145</v>
      </c>
      <c r="U5" s="3" t="s">
        <v>60</v>
      </c>
      <c r="V5" s="3" t="s">
        <v>33</v>
      </c>
      <c r="W5" s="3" t="s">
        <v>61</v>
      </c>
    </row>
    <row r="6" spans="1:26" x14ac:dyDescent="0.25">
      <c r="A6" s="3" t="s">
        <v>62</v>
      </c>
      <c r="B6" s="3">
        <v>105</v>
      </c>
      <c r="C6" s="3" t="s">
        <v>63</v>
      </c>
      <c r="D6" s="3" t="s">
        <v>56</v>
      </c>
      <c r="E6" s="3" t="s">
        <v>64</v>
      </c>
      <c r="F6" s="3" t="s">
        <v>38</v>
      </c>
      <c r="G6" s="4">
        <v>45677</v>
      </c>
      <c r="H6" s="3">
        <v>22</v>
      </c>
      <c r="I6" s="3" t="s">
        <v>65</v>
      </c>
      <c r="J6" s="3" t="s">
        <v>66</v>
      </c>
      <c r="K6" s="3" t="s">
        <v>41</v>
      </c>
      <c r="L6" s="3" t="s">
        <v>67</v>
      </c>
      <c r="M6" s="4">
        <v>46035</v>
      </c>
      <c r="N6" s="3">
        <v>2</v>
      </c>
      <c r="O6" s="5">
        <v>8999</v>
      </c>
      <c r="P6" s="3">
        <v>8</v>
      </c>
      <c r="Q6" s="5">
        <v>17998</v>
      </c>
      <c r="R6" s="5">
        <v>1439.84</v>
      </c>
      <c r="S6" s="10">
        <f t="shared" si="0"/>
        <v>16558.16</v>
      </c>
      <c r="T6" s="5">
        <v>1655.816</v>
      </c>
      <c r="U6" s="3" t="s">
        <v>68</v>
      </c>
      <c r="V6" s="3" t="s">
        <v>43</v>
      </c>
      <c r="W6" s="3" t="s">
        <v>69</v>
      </c>
    </row>
    <row r="7" spans="1:26" x14ac:dyDescent="0.25">
      <c r="A7" s="3" t="s">
        <v>70</v>
      </c>
      <c r="B7" s="3">
        <v>106</v>
      </c>
      <c r="C7" s="3" t="s">
        <v>71</v>
      </c>
      <c r="D7" s="3" t="s">
        <v>56</v>
      </c>
      <c r="E7" s="3" t="s">
        <v>26</v>
      </c>
      <c r="F7" s="3" t="s">
        <v>38</v>
      </c>
      <c r="G7" s="4">
        <v>45679</v>
      </c>
      <c r="H7" s="3">
        <v>24</v>
      </c>
      <c r="I7" s="3" t="s">
        <v>28</v>
      </c>
      <c r="J7" s="3" t="s">
        <v>29</v>
      </c>
      <c r="K7" s="3" t="s">
        <v>30</v>
      </c>
      <c r="L7" s="3" t="s">
        <v>31</v>
      </c>
      <c r="M7" s="4">
        <v>46037</v>
      </c>
      <c r="N7" s="3">
        <v>4</v>
      </c>
      <c r="O7" s="5">
        <v>69999</v>
      </c>
      <c r="P7" s="3">
        <v>12</v>
      </c>
      <c r="Q7" s="5">
        <v>279996</v>
      </c>
      <c r="R7" s="5">
        <v>33599.519999999997</v>
      </c>
      <c r="S7" s="10">
        <f t="shared" si="0"/>
        <v>246396.48</v>
      </c>
      <c r="T7" s="5">
        <v>49279.296000000002</v>
      </c>
      <c r="U7" s="3" t="s">
        <v>32</v>
      </c>
      <c r="V7" s="3" t="s">
        <v>52</v>
      </c>
      <c r="W7" s="3" t="s">
        <v>72</v>
      </c>
    </row>
    <row r="8" spans="1:26" x14ac:dyDescent="0.25">
      <c r="A8" s="3" t="s">
        <v>73</v>
      </c>
      <c r="B8" s="3">
        <v>107</v>
      </c>
      <c r="C8" s="3" t="s">
        <v>74</v>
      </c>
      <c r="D8" s="3" t="s">
        <v>25</v>
      </c>
      <c r="E8" s="3" t="s">
        <v>26</v>
      </c>
      <c r="F8" s="3" t="s">
        <v>27</v>
      </c>
      <c r="G8" s="4">
        <v>45682</v>
      </c>
      <c r="H8" s="3">
        <v>27</v>
      </c>
      <c r="I8" s="3" t="s">
        <v>39</v>
      </c>
      <c r="J8" s="3" t="s">
        <v>40</v>
      </c>
      <c r="K8" s="3" t="s">
        <v>41</v>
      </c>
      <c r="L8" s="3" t="s">
        <v>31</v>
      </c>
      <c r="M8" s="4">
        <v>46039</v>
      </c>
      <c r="N8" s="3">
        <v>1</v>
      </c>
      <c r="O8" s="5">
        <v>30999</v>
      </c>
      <c r="P8" s="3">
        <v>0</v>
      </c>
      <c r="Q8" s="5">
        <v>30999</v>
      </c>
      <c r="R8" s="5">
        <v>0</v>
      </c>
      <c r="S8" s="10">
        <f t="shared" si="0"/>
        <v>30999</v>
      </c>
      <c r="T8" s="5">
        <v>7749.75</v>
      </c>
      <c r="U8" s="3" t="s">
        <v>42</v>
      </c>
      <c r="V8" s="3" t="s">
        <v>33</v>
      </c>
      <c r="W8" s="3" t="s">
        <v>34</v>
      </c>
    </row>
    <row r="9" spans="1:26" x14ac:dyDescent="0.25">
      <c r="A9" s="3" t="s">
        <v>75</v>
      </c>
      <c r="B9" s="3">
        <v>108</v>
      </c>
      <c r="C9" s="3" t="s">
        <v>76</v>
      </c>
      <c r="D9" s="3" t="s">
        <v>47</v>
      </c>
      <c r="E9" s="3" t="s">
        <v>37</v>
      </c>
      <c r="F9" s="3" t="s">
        <v>27</v>
      </c>
      <c r="G9" s="4">
        <v>45685</v>
      </c>
      <c r="H9" s="3">
        <v>21</v>
      </c>
      <c r="I9" s="3" t="s">
        <v>48</v>
      </c>
      <c r="J9" s="3" t="s">
        <v>49</v>
      </c>
      <c r="K9" s="3" t="s">
        <v>50</v>
      </c>
      <c r="L9" s="3" t="s">
        <v>31</v>
      </c>
      <c r="M9" s="4">
        <v>46041</v>
      </c>
      <c r="N9" s="3">
        <v>2</v>
      </c>
      <c r="O9" s="5">
        <v>16999</v>
      </c>
      <c r="P9" s="3">
        <v>7</v>
      </c>
      <c r="Q9" s="5">
        <v>33998</v>
      </c>
      <c r="R9" s="5">
        <v>2379.86</v>
      </c>
      <c r="S9" s="10">
        <f t="shared" si="0"/>
        <v>31618.14</v>
      </c>
      <c r="T9" s="5">
        <v>9485.4419999999991</v>
      </c>
      <c r="U9" s="3" t="s">
        <v>51</v>
      </c>
      <c r="V9" s="3" t="s">
        <v>43</v>
      </c>
      <c r="W9" s="3" t="s">
        <v>44</v>
      </c>
    </row>
    <row r="10" spans="1:26" x14ac:dyDescent="0.25">
      <c r="A10" s="3" t="s">
        <v>77</v>
      </c>
      <c r="B10" s="3">
        <v>109</v>
      </c>
      <c r="C10" s="3" t="s">
        <v>78</v>
      </c>
      <c r="D10" s="3" t="s">
        <v>79</v>
      </c>
      <c r="E10" s="3" t="s">
        <v>64</v>
      </c>
      <c r="F10" s="3" t="s">
        <v>27</v>
      </c>
      <c r="G10" s="4">
        <v>45690</v>
      </c>
      <c r="H10" s="3">
        <v>26</v>
      </c>
      <c r="I10" s="3" t="s">
        <v>57</v>
      </c>
      <c r="J10" s="3" t="s">
        <v>58</v>
      </c>
      <c r="K10" s="3" t="s">
        <v>59</v>
      </c>
      <c r="L10" s="3" t="s">
        <v>31</v>
      </c>
      <c r="M10" s="4">
        <v>46043</v>
      </c>
      <c r="N10" s="3">
        <v>5</v>
      </c>
      <c r="O10" s="5">
        <v>27999</v>
      </c>
      <c r="P10" s="3">
        <v>10</v>
      </c>
      <c r="Q10" s="5">
        <v>139995</v>
      </c>
      <c r="R10" s="5">
        <v>13999.5</v>
      </c>
      <c r="S10" s="10">
        <f t="shared" si="0"/>
        <v>125995.5</v>
      </c>
      <c r="T10" s="5">
        <v>12599.55</v>
      </c>
      <c r="U10" s="3" t="s">
        <v>60</v>
      </c>
      <c r="V10" s="3" t="s">
        <v>52</v>
      </c>
      <c r="W10" s="3" t="s">
        <v>53</v>
      </c>
    </row>
    <row r="11" spans="1:26" x14ac:dyDescent="0.25">
      <c r="A11" s="3" t="s">
        <v>80</v>
      </c>
      <c r="B11" s="3">
        <v>110</v>
      </c>
      <c r="C11" s="3" t="s">
        <v>81</v>
      </c>
      <c r="D11" s="3" t="s">
        <v>82</v>
      </c>
      <c r="E11" s="3" t="s">
        <v>26</v>
      </c>
      <c r="F11" s="3" t="s">
        <v>38</v>
      </c>
      <c r="G11" s="4">
        <v>45693</v>
      </c>
      <c r="H11" s="3">
        <v>25</v>
      </c>
      <c r="I11" s="3" t="s">
        <v>65</v>
      </c>
      <c r="J11" s="3" t="s">
        <v>66</v>
      </c>
      <c r="K11" s="3" t="s">
        <v>41</v>
      </c>
      <c r="L11" s="3" t="s">
        <v>67</v>
      </c>
      <c r="M11" s="4">
        <v>46045</v>
      </c>
      <c r="N11" s="3">
        <v>1</v>
      </c>
      <c r="O11" s="5">
        <v>8999</v>
      </c>
      <c r="P11" s="3">
        <v>5</v>
      </c>
      <c r="Q11" s="5">
        <v>8999</v>
      </c>
      <c r="R11" s="5">
        <v>449.95</v>
      </c>
      <c r="S11" s="10">
        <f t="shared" si="0"/>
        <v>8549.0499999999993</v>
      </c>
      <c r="T11" s="5">
        <v>1709.81</v>
      </c>
      <c r="U11" s="3" t="s">
        <v>68</v>
      </c>
      <c r="V11" s="3" t="s">
        <v>33</v>
      </c>
      <c r="W11" s="3" t="s">
        <v>61</v>
      </c>
    </row>
    <row r="12" spans="1:26" x14ac:dyDescent="0.25">
      <c r="A12" s="3" t="s">
        <v>83</v>
      </c>
      <c r="B12" s="3">
        <v>111</v>
      </c>
      <c r="C12" s="3" t="s">
        <v>84</v>
      </c>
      <c r="D12" s="3" t="s">
        <v>79</v>
      </c>
      <c r="E12" s="3" t="s">
        <v>37</v>
      </c>
      <c r="F12" s="3" t="s">
        <v>38</v>
      </c>
      <c r="G12" s="4">
        <v>45696</v>
      </c>
      <c r="H12" s="3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4">
        <v>46047</v>
      </c>
      <c r="N12" s="3">
        <v>1</v>
      </c>
      <c r="O12" s="5">
        <v>69999</v>
      </c>
      <c r="P12" s="3">
        <v>0</v>
      </c>
      <c r="Q12" s="5">
        <v>69999</v>
      </c>
      <c r="R12" s="5">
        <v>0</v>
      </c>
      <c r="S12" s="10">
        <f t="shared" si="0"/>
        <v>69999</v>
      </c>
      <c r="T12" s="5">
        <v>17499.75</v>
      </c>
      <c r="U12" s="3" t="s">
        <v>32</v>
      </c>
      <c r="V12" s="3" t="s">
        <v>43</v>
      </c>
      <c r="W12" s="3" t="s">
        <v>69</v>
      </c>
    </row>
    <row r="13" spans="1:26" x14ac:dyDescent="0.25">
      <c r="A13" s="3" t="s">
        <v>85</v>
      </c>
      <c r="B13" s="3">
        <v>112</v>
      </c>
      <c r="C13" s="3" t="s">
        <v>86</v>
      </c>
      <c r="D13" s="3" t="s">
        <v>87</v>
      </c>
      <c r="E13" s="3" t="s">
        <v>88</v>
      </c>
      <c r="F13" s="3" t="s">
        <v>38</v>
      </c>
      <c r="G13" s="4">
        <v>45700</v>
      </c>
      <c r="H13" s="3">
        <v>28</v>
      </c>
      <c r="I13" s="3" t="s">
        <v>39</v>
      </c>
      <c r="J13" s="3" t="s">
        <v>40</v>
      </c>
      <c r="K13" s="3" t="s">
        <v>41</v>
      </c>
      <c r="L13" s="3" t="s">
        <v>31</v>
      </c>
      <c r="M13" s="4">
        <v>46049</v>
      </c>
      <c r="N13" s="3">
        <v>2</v>
      </c>
      <c r="O13" s="5">
        <v>30999</v>
      </c>
      <c r="P13" s="3">
        <v>5</v>
      </c>
      <c r="Q13" s="5">
        <v>61998</v>
      </c>
      <c r="R13" s="5">
        <v>3099.9</v>
      </c>
      <c r="S13" s="10">
        <f t="shared" si="0"/>
        <v>58898.1</v>
      </c>
      <c r="T13" s="5">
        <v>17669.43</v>
      </c>
      <c r="U13" s="3" t="s">
        <v>42</v>
      </c>
      <c r="V13" s="3" t="s">
        <v>52</v>
      </c>
      <c r="W13" s="3" t="s">
        <v>72</v>
      </c>
    </row>
    <row r="14" spans="1:26" x14ac:dyDescent="0.25">
      <c r="A14" s="3" t="s">
        <v>89</v>
      </c>
      <c r="B14" s="3">
        <v>113</v>
      </c>
      <c r="C14" s="3" t="s">
        <v>90</v>
      </c>
      <c r="D14" s="3" t="s">
        <v>91</v>
      </c>
      <c r="E14" s="3" t="s">
        <v>26</v>
      </c>
      <c r="F14" s="3" t="s">
        <v>38</v>
      </c>
      <c r="G14" s="4">
        <v>45703</v>
      </c>
      <c r="H14" s="3">
        <v>20</v>
      </c>
      <c r="I14" s="3" t="s">
        <v>48</v>
      </c>
      <c r="J14" s="3" t="s">
        <v>49</v>
      </c>
      <c r="K14" s="3" t="s">
        <v>50</v>
      </c>
      <c r="L14" s="3" t="s">
        <v>31</v>
      </c>
      <c r="M14" s="4">
        <v>46051</v>
      </c>
      <c r="N14" s="3">
        <v>1</v>
      </c>
      <c r="O14" s="5">
        <v>16999</v>
      </c>
      <c r="P14" s="3">
        <v>10</v>
      </c>
      <c r="Q14" s="5">
        <v>16999</v>
      </c>
      <c r="R14" s="5">
        <v>1699.9</v>
      </c>
      <c r="S14" s="10">
        <f t="shared" si="0"/>
        <v>15299.1</v>
      </c>
      <c r="T14" s="5">
        <v>1529.91</v>
      </c>
      <c r="U14" s="3" t="s">
        <v>51</v>
      </c>
      <c r="V14" s="3" t="s">
        <v>33</v>
      </c>
      <c r="W14" s="3" t="s">
        <v>34</v>
      </c>
    </row>
    <row r="15" spans="1:26" x14ac:dyDescent="0.25">
      <c r="A15" s="3" t="s">
        <v>92</v>
      </c>
      <c r="B15" s="3">
        <v>114</v>
      </c>
      <c r="C15" s="3" t="s">
        <v>93</v>
      </c>
      <c r="D15" s="3" t="s">
        <v>91</v>
      </c>
      <c r="E15" s="3" t="s">
        <v>26</v>
      </c>
      <c r="F15" s="3" t="s">
        <v>38</v>
      </c>
      <c r="G15" s="4">
        <v>45706</v>
      </c>
      <c r="H15" s="3">
        <v>22</v>
      </c>
      <c r="I15" s="3" t="s">
        <v>57</v>
      </c>
      <c r="J15" s="3" t="s">
        <v>58</v>
      </c>
      <c r="K15" s="3" t="s">
        <v>59</v>
      </c>
      <c r="L15" s="3" t="s">
        <v>31</v>
      </c>
      <c r="M15" s="4">
        <v>46053</v>
      </c>
      <c r="N15" s="3">
        <v>3</v>
      </c>
      <c r="O15" s="5">
        <v>27999</v>
      </c>
      <c r="P15" s="3">
        <v>5</v>
      </c>
      <c r="Q15" s="5">
        <v>83997</v>
      </c>
      <c r="R15" s="5">
        <v>4199.8500000000004</v>
      </c>
      <c r="S15" s="10">
        <f t="shared" si="0"/>
        <v>79797.149999999994</v>
      </c>
      <c r="T15" s="5">
        <v>15959.43</v>
      </c>
      <c r="U15" s="3" t="s">
        <v>60</v>
      </c>
      <c r="V15" s="3" t="s">
        <v>43</v>
      </c>
      <c r="W15" s="3" t="s">
        <v>44</v>
      </c>
    </row>
    <row r="16" spans="1:26" x14ac:dyDescent="0.25">
      <c r="A16" s="3" t="s">
        <v>94</v>
      </c>
      <c r="B16" s="3">
        <v>115</v>
      </c>
      <c r="C16" s="3" t="s">
        <v>95</v>
      </c>
      <c r="D16" s="3" t="s">
        <v>82</v>
      </c>
      <c r="E16" s="3" t="s">
        <v>37</v>
      </c>
      <c r="F16" s="3" t="s">
        <v>27</v>
      </c>
      <c r="G16" s="4">
        <v>45708</v>
      </c>
      <c r="H16" s="3">
        <v>24</v>
      </c>
      <c r="I16" s="3" t="s">
        <v>65</v>
      </c>
      <c r="J16" s="3" t="s">
        <v>66</v>
      </c>
      <c r="K16" s="3" t="s">
        <v>41</v>
      </c>
      <c r="L16" s="3" t="s">
        <v>67</v>
      </c>
      <c r="M16" s="4">
        <v>46055</v>
      </c>
      <c r="N16" s="3">
        <v>2</v>
      </c>
      <c r="O16" s="5">
        <v>8999</v>
      </c>
      <c r="P16" s="3">
        <v>8</v>
      </c>
      <c r="Q16" s="5">
        <v>17998</v>
      </c>
      <c r="R16" s="5">
        <v>1439.84</v>
      </c>
      <c r="S16" s="10">
        <f t="shared" si="0"/>
        <v>16558.16</v>
      </c>
      <c r="T16" s="5">
        <v>4139.54</v>
      </c>
      <c r="U16" s="3" t="s">
        <v>68</v>
      </c>
      <c r="V16" s="3" t="s">
        <v>52</v>
      </c>
      <c r="W16" s="3" t="s">
        <v>53</v>
      </c>
    </row>
    <row r="17" spans="1:23" x14ac:dyDescent="0.25">
      <c r="A17" s="3" t="s">
        <v>96</v>
      </c>
      <c r="B17" s="3">
        <v>116</v>
      </c>
      <c r="C17" s="3" t="s">
        <v>97</v>
      </c>
      <c r="D17" s="3" t="s">
        <v>82</v>
      </c>
      <c r="E17" s="3" t="s">
        <v>64</v>
      </c>
      <c r="F17" s="3" t="s">
        <v>27</v>
      </c>
      <c r="G17" s="4">
        <v>45710</v>
      </c>
      <c r="H17" s="3">
        <v>23</v>
      </c>
      <c r="I17" s="3" t="s">
        <v>28</v>
      </c>
      <c r="J17" s="3" t="s">
        <v>29</v>
      </c>
      <c r="K17" s="3" t="s">
        <v>30</v>
      </c>
      <c r="L17" s="3" t="s">
        <v>31</v>
      </c>
      <c r="M17" s="4">
        <v>46057</v>
      </c>
      <c r="N17" s="3">
        <v>4</v>
      </c>
      <c r="O17" s="5">
        <v>69999</v>
      </c>
      <c r="P17" s="3">
        <v>12</v>
      </c>
      <c r="Q17" s="5">
        <v>279996</v>
      </c>
      <c r="R17" s="5">
        <v>33599.519999999997</v>
      </c>
      <c r="S17" s="10">
        <f t="shared" si="0"/>
        <v>246396.48</v>
      </c>
      <c r="T17" s="5">
        <v>73918.944000000003</v>
      </c>
      <c r="U17" s="3" t="s">
        <v>32</v>
      </c>
      <c r="V17" s="3" t="s">
        <v>33</v>
      </c>
      <c r="W17" s="3" t="s">
        <v>61</v>
      </c>
    </row>
    <row r="18" spans="1:23" x14ac:dyDescent="0.25">
      <c r="A18" s="3" t="s">
        <v>98</v>
      </c>
      <c r="B18" s="3">
        <v>117</v>
      </c>
      <c r="C18" s="3" t="s">
        <v>99</v>
      </c>
      <c r="D18" s="3" t="s">
        <v>47</v>
      </c>
      <c r="E18" s="3" t="s">
        <v>26</v>
      </c>
      <c r="F18" s="3" t="s">
        <v>38</v>
      </c>
      <c r="G18" s="4">
        <v>45713</v>
      </c>
      <c r="H18" s="3">
        <v>26</v>
      </c>
      <c r="I18" s="3" t="s">
        <v>39</v>
      </c>
      <c r="J18" s="3" t="s">
        <v>40</v>
      </c>
      <c r="K18" s="3" t="s">
        <v>41</v>
      </c>
      <c r="L18" s="3" t="s">
        <v>31</v>
      </c>
      <c r="M18" s="4">
        <v>46059</v>
      </c>
      <c r="N18" s="3">
        <v>1</v>
      </c>
      <c r="O18" s="5">
        <v>30999</v>
      </c>
      <c r="P18" s="3">
        <v>0</v>
      </c>
      <c r="Q18" s="5">
        <v>30999</v>
      </c>
      <c r="R18" s="5">
        <v>0</v>
      </c>
      <c r="S18" s="10">
        <f t="shared" si="0"/>
        <v>30999</v>
      </c>
      <c r="T18" s="5">
        <v>3099.9</v>
      </c>
      <c r="U18" s="3" t="s">
        <v>42</v>
      </c>
      <c r="V18" s="3" t="s">
        <v>43</v>
      </c>
      <c r="W18" s="3" t="s">
        <v>69</v>
      </c>
    </row>
    <row r="19" spans="1:23" x14ac:dyDescent="0.25">
      <c r="A19" s="3" t="s">
        <v>100</v>
      </c>
      <c r="B19" s="3">
        <v>101</v>
      </c>
      <c r="C19" s="3" t="s">
        <v>24</v>
      </c>
      <c r="D19" s="3" t="s">
        <v>25</v>
      </c>
      <c r="E19" s="3" t="s">
        <v>26</v>
      </c>
      <c r="F19" s="3" t="s">
        <v>27</v>
      </c>
      <c r="G19" s="4">
        <v>45662</v>
      </c>
      <c r="H19" s="3">
        <v>25</v>
      </c>
      <c r="I19" s="3" t="s">
        <v>48</v>
      </c>
      <c r="J19" s="3" t="s">
        <v>49</v>
      </c>
      <c r="K19" s="3" t="s">
        <v>50</v>
      </c>
      <c r="L19" s="3" t="s">
        <v>31</v>
      </c>
      <c r="M19" s="4">
        <v>46061</v>
      </c>
      <c r="N19" s="3">
        <v>2</v>
      </c>
      <c r="O19" s="5">
        <v>16999</v>
      </c>
      <c r="P19" s="3">
        <v>7</v>
      </c>
      <c r="Q19" s="5">
        <v>33998</v>
      </c>
      <c r="R19" s="5">
        <v>2379.86</v>
      </c>
      <c r="S19" s="10">
        <f t="shared" si="0"/>
        <v>31618.14</v>
      </c>
      <c r="T19" s="5">
        <v>6323.6280000000006</v>
      </c>
      <c r="U19" s="3" t="s">
        <v>51</v>
      </c>
      <c r="V19" s="3" t="s">
        <v>52</v>
      </c>
      <c r="W19" s="3" t="s">
        <v>72</v>
      </c>
    </row>
    <row r="20" spans="1:23" x14ac:dyDescent="0.25">
      <c r="A20" s="3" t="s">
        <v>101</v>
      </c>
      <c r="B20" s="3">
        <v>102</v>
      </c>
      <c r="C20" s="3" t="s">
        <v>36</v>
      </c>
      <c r="D20" s="3" t="s">
        <v>25</v>
      </c>
      <c r="E20" s="3" t="s">
        <v>37</v>
      </c>
      <c r="F20" s="3" t="s">
        <v>38</v>
      </c>
      <c r="G20" s="4">
        <v>45665</v>
      </c>
      <c r="H20" s="3">
        <v>24</v>
      </c>
      <c r="I20" s="3" t="s">
        <v>57</v>
      </c>
      <c r="J20" s="3" t="s">
        <v>58</v>
      </c>
      <c r="K20" s="3" t="s">
        <v>59</v>
      </c>
      <c r="L20" s="3" t="s">
        <v>31</v>
      </c>
      <c r="M20" s="4">
        <v>46063</v>
      </c>
      <c r="N20" s="3">
        <v>5</v>
      </c>
      <c r="O20" s="5">
        <v>27999</v>
      </c>
      <c r="P20" s="3">
        <v>10</v>
      </c>
      <c r="Q20" s="5">
        <v>139995</v>
      </c>
      <c r="R20" s="5">
        <v>13999.5</v>
      </c>
      <c r="S20" s="10">
        <f t="shared" si="0"/>
        <v>125995.5</v>
      </c>
      <c r="T20" s="5">
        <v>31498.875</v>
      </c>
      <c r="U20" s="3" t="s">
        <v>60</v>
      </c>
      <c r="V20" s="3" t="s">
        <v>33</v>
      </c>
      <c r="W20" s="3" t="s">
        <v>34</v>
      </c>
    </row>
    <row r="21" spans="1:23" x14ac:dyDescent="0.25">
      <c r="A21" s="3" t="s">
        <v>102</v>
      </c>
      <c r="B21" s="3">
        <v>103</v>
      </c>
      <c r="C21" s="3" t="s">
        <v>46</v>
      </c>
      <c r="D21" s="3" t="s">
        <v>47</v>
      </c>
      <c r="E21" s="3" t="s">
        <v>26</v>
      </c>
      <c r="F21" s="3" t="s">
        <v>38</v>
      </c>
      <c r="G21" s="4">
        <v>45669</v>
      </c>
      <c r="H21" s="3">
        <v>23</v>
      </c>
      <c r="I21" s="3" t="s">
        <v>65</v>
      </c>
      <c r="J21" s="3" t="s">
        <v>66</v>
      </c>
      <c r="K21" s="3" t="s">
        <v>41</v>
      </c>
      <c r="L21" s="3" t="s">
        <v>67</v>
      </c>
      <c r="M21" s="4">
        <v>46065</v>
      </c>
      <c r="N21" s="3">
        <v>1</v>
      </c>
      <c r="O21" s="5">
        <v>8999</v>
      </c>
      <c r="P21" s="3">
        <v>5</v>
      </c>
      <c r="Q21" s="5">
        <v>8999</v>
      </c>
      <c r="R21" s="5">
        <v>449.95</v>
      </c>
      <c r="S21" s="10">
        <f t="shared" si="0"/>
        <v>8549.0499999999993</v>
      </c>
      <c r="T21" s="5">
        <v>2564.7150000000001</v>
      </c>
      <c r="U21" s="3" t="s">
        <v>68</v>
      </c>
      <c r="V21" s="3" t="s">
        <v>43</v>
      </c>
      <c r="W21" s="3" t="s">
        <v>44</v>
      </c>
    </row>
    <row r="22" spans="1:23" x14ac:dyDescent="0.25">
      <c r="A22" s="3" t="s">
        <v>103</v>
      </c>
      <c r="B22" s="3">
        <v>104</v>
      </c>
      <c r="C22" s="3" t="s">
        <v>55</v>
      </c>
      <c r="D22" s="3" t="s">
        <v>56</v>
      </c>
      <c r="E22" s="3" t="s">
        <v>26</v>
      </c>
      <c r="F22" s="3" t="s">
        <v>38</v>
      </c>
      <c r="G22" s="4">
        <v>45672</v>
      </c>
      <c r="H22" s="3">
        <v>26</v>
      </c>
      <c r="I22" s="3" t="s">
        <v>28</v>
      </c>
      <c r="J22" s="3" t="s">
        <v>29</v>
      </c>
      <c r="K22" s="3" t="s">
        <v>30</v>
      </c>
      <c r="L22" s="3" t="s">
        <v>31</v>
      </c>
      <c r="M22" s="4">
        <v>46067</v>
      </c>
      <c r="N22" s="3">
        <v>1</v>
      </c>
      <c r="O22" s="5">
        <v>69999</v>
      </c>
      <c r="P22" s="3">
        <v>0</v>
      </c>
      <c r="Q22" s="5">
        <v>69999</v>
      </c>
      <c r="R22" s="5">
        <v>0</v>
      </c>
      <c r="S22" s="10">
        <f t="shared" si="0"/>
        <v>69999</v>
      </c>
      <c r="T22" s="5">
        <v>6999.9000000000005</v>
      </c>
      <c r="U22" s="3" t="s">
        <v>32</v>
      </c>
      <c r="V22" s="3" t="s">
        <v>52</v>
      </c>
      <c r="W22" s="3" t="s">
        <v>53</v>
      </c>
    </row>
    <row r="23" spans="1:23" x14ac:dyDescent="0.25">
      <c r="A23" s="3" t="s">
        <v>104</v>
      </c>
      <c r="B23" s="3">
        <v>105</v>
      </c>
      <c r="C23" s="3" t="s">
        <v>63</v>
      </c>
      <c r="D23" s="3" t="s">
        <v>56</v>
      </c>
      <c r="E23" s="3" t="s">
        <v>64</v>
      </c>
      <c r="F23" s="3" t="s">
        <v>38</v>
      </c>
      <c r="G23" s="4">
        <v>45677</v>
      </c>
      <c r="H23" s="3">
        <v>22</v>
      </c>
      <c r="I23" s="3" t="s">
        <v>39</v>
      </c>
      <c r="J23" s="3" t="s">
        <v>40</v>
      </c>
      <c r="K23" s="3" t="s">
        <v>41</v>
      </c>
      <c r="L23" s="3" t="s">
        <v>31</v>
      </c>
      <c r="M23" s="4">
        <v>46069</v>
      </c>
      <c r="N23" s="3">
        <v>2</v>
      </c>
      <c r="O23" s="5">
        <v>30999</v>
      </c>
      <c r="P23" s="3">
        <v>5</v>
      </c>
      <c r="Q23" s="5">
        <v>61998</v>
      </c>
      <c r="R23" s="5">
        <v>3099.9</v>
      </c>
      <c r="S23" s="10">
        <f t="shared" si="0"/>
        <v>58898.1</v>
      </c>
      <c r="T23" s="5">
        <v>11779.62</v>
      </c>
      <c r="U23" s="3" t="s">
        <v>42</v>
      </c>
      <c r="V23" s="3" t="s">
        <v>33</v>
      </c>
      <c r="W23" s="3" t="s">
        <v>61</v>
      </c>
    </row>
    <row r="24" spans="1:23" x14ac:dyDescent="0.25">
      <c r="A24" s="3" t="s">
        <v>105</v>
      </c>
      <c r="B24" s="3">
        <v>106</v>
      </c>
      <c r="C24" s="3" t="s">
        <v>71</v>
      </c>
      <c r="D24" s="3" t="s">
        <v>56</v>
      </c>
      <c r="E24" s="3" t="s">
        <v>26</v>
      </c>
      <c r="F24" s="3" t="s">
        <v>38</v>
      </c>
      <c r="G24" s="4">
        <v>45679</v>
      </c>
      <c r="H24" s="3">
        <v>24</v>
      </c>
      <c r="I24" s="3" t="s">
        <v>48</v>
      </c>
      <c r="J24" s="3" t="s">
        <v>49</v>
      </c>
      <c r="K24" s="3" t="s">
        <v>50</v>
      </c>
      <c r="L24" s="3" t="s">
        <v>31</v>
      </c>
      <c r="M24" s="4">
        <v>46071</v>
      </c>
      <c r="N24" s="3">
        <v>1</v>
      </c>
      <c r="O24" s="5">
        <v>16999</v>
      </c>
      <c r="P24" s="3">
        <v>10</v>
      </c>
      <c r="Q24" s="5">
        <v>16999</v>
      </c>
      <c r="R24" s="5">
        <v>1699.9</v>
      </c>
      <c r="S24" s="10">
        <f t="shared" si="0"/>
        <v>15299.1</v>
      </c>
      <c r="T24" s="5">
        <v>3824.7750000000001</v>
      </c>
      <c r="U24" s="3" t="s">
        <v>51</v>
      </c>
      <c r="V24" s="3" t="s">
        <v>43</v>
      </c>
      <c r="W24" s="3" t="s">
        <v>69</v>
      </c>
    </row>
    <row r="25" spans="1:23" x14ac:dyDescent="0.25">
      <c r="A25" s="3" t="s">
        <v>106</v>
      </c>
      <c r="B25" s="3">
        <v>107</v>
      </c>
      <c r="C25" s="3" t="s">
        <v>74</v>
      </c>
      <c r="D25" s="3" t="s">
        <v>25</v>
      </c>
      <c r="E25" s="3" t="s">
        <v>26</v>
      </c>
      <c r="F25" s="3" t="s">
        <v>27</v>
      </c>
      <c r="G25" s="4">
        <v>45682</v>
      </c>
      <c r="H25" s="3">
        <v>27</v>
      </c>
      <c r="I25" s="3" t="s">
        <v>57</v>
      </c>
      <c r="J25" s="3" t="s">
        <v>58</v>
      </c>
      <c r="K25" s="3" t="s">
        <v>59</v>
      </c>
      <c r="L25" s="3" t="s">
        <v>31</v>
      </c>
      <c r="M25" s="4">
        <v>46073</v>
      </c>
      <c r="N25" s="3">
        <v>3</v>
      </c>
      <c r="O25" s="5">
        <v>27999</v>
      </c>
      <c r="P25" s="3">
        <v>5</v>
      </c>
      <c r="Q25" s="5">
        <v>83997</v>
      </c>
      <c r="R25" s="5">
        <v>4199.8500000000004</v>
      </c>
      <c r="S25" s="10">
        <f t="shared" si="0"/>
        <v>79797.149999999994</v>
      </c>
      <c r="T25" s="5">
        <v>23939.145</v>
      </c>
      <c r="U25" s="3" t="s">
        <v>60</v>
      </c>
      <c r="V25" s="3" t="s">
        <v>52</v>
      </c>
      <c r="W25" s="3" t="s">
        <v>72</v>
      </c>
    </row>
    <row r="26" spans="1:23" x14ac:dyDescent="0.25">
      <c r="A26" s="3" t="s">
        <v>107</v>
      </c>
      <c r="B26" s="3">
        <v>108</v>
      </c>
      <c r="C26" s="3" t="s">
        <v>76</v>
      </c>
      <c r="D26" s="3" t="s">
        <v>47</v>
      </c>
      <c r="E26" s="3" t="s">
        <v>37</v>
      </c>
      <c r="F26" s="3" t="s">
        <v>27</v>
      </c>
      <c r="G26" s="4">
        <v>45685</v>
      </c>
      <c r="H26" s="3">
        <v>21</v>
      </c>
      <c r="I26" s="3" t="s">
        <v>65</v>
      </c>
      <c r="J26" s="3" t="s">
        <v>66</v>
      </c>
      <c r="K26" s="3" t="s">
        <v>41</v>
      </c>
      <c r="L26" s="3" t="s">
        <v>67</v>
      </c>
      <c r="M26" s="4">
        <v>46075</v>
      </c>
      <c r="N26" s="3">
        <v>2</v>
      </c>
      <c r="O26" s="5">
        <v>8999</v>
      </c>
      <c r="P26" s="3">
        <v>8</v>
      </c>
      <c r="Q26" s="5">
        <v>17998</v>
      </c>
      <c r="R26" s="5">
        <v>1439.84</v>
      </c>
      <c r="S26" s="10">
        <f t="shared" si="0"/>
        <v>16558.16</v>
      </c>
      <c r="T26" s="5">
        <v>1655.816</v>
      </c>
      <c r="U26" s="3" t="s">
        <v>68</v>
      </c>
      <c r="V26" s="3" t="s">
        <v>33</v>
      </c>
      <c r="W26" s="3" t="s">
        <v>34</v>
      </c>
    </row>
    <row r="27" spans="1:23" x14ac:dyDescent="0.25">
      <c r="A27" s="3" t="s">
        <v>108</v>
      </c>
      <c r="B27" s="3">
        <v>109</v>
      </c>
      <c r="C27" s="3" t="s">
        <v>78</v>
      </c>
      <c r="D27" s="3" t="s">
        <v>79</v>
      </c>
      <c r="E27" s="3" t="s">
        <v>64</v>
      </c>
      <c r="F27" s="3" t="s">
        <v>27</v>
      </c>
      <c r="G27" s="4">
        <v>45690</v>
      </c>
      <c r="H27" s="3">
        <v>26</v>
      </c>
      <c r="I27" s="3" t="s">
        <v>28</v>
      </c>
      <c r="J27" s="3" t="s">
        <v>29</v>
      </c>
      <c r="K27" s="3" t="s">
        <v>30</v>
      </c>
      <c r="L27" s="3" t="s">
        <v>31</v>
      </c>
      <c r="M27" s="4">
        <v>46077</v>
      </c>
      <c r="N27" s="3">
        <v>4</v>
      </c>
      <c r="O27" s="5">
        <v>69999</v>
      </c>
      <c r="P27" s="3">
        <v>12</v>
      </c>
      <c r="Q27" s="5">
        <v>279996</v>
      </c>
      <c r="R27" s="5">
        <v>33599.519999999997</v>
      </c>
      <c r="S27" s="10">
        <f t="shared" si="0"/>
        <v>246396.48</v>
      </c>
      <c r="T27" s="5">
        <v>49279.296000000002</v>
      </c>
      <c r="U27" s="3" t="s">
        <v>32</v>
      </c>
      <c r="V27" s="3" t="s">
        <v>43</v>
      </c>
      <c r="W27" s="3" t="s">
        <v>44</v>
      </c>
    </row>
    <row r="28" spans="1:23" x14ac:dyDescent="0.25">
      <c r="A28" s="3" t="s">
        <v>109</v>
      </c>
      <c r="B28" s="3">
        <v>110</v>
      </c>
      <c r="C28" s="3" t="s">
        <v>81</v>
      </c>
      <c r="D28" s="3" t="s">
        <v>82</v>
      </c>
      <c r="E28" s="3" t="s">
        <v>26</v>
      </c>
      <c r="F28" s="3" t="s">
        <v>38</v>
      </c>
      <c r="G28" s="4">
        <v>45693</v>
      </c>
      <c r="H28" s="3">
        <v>25</v>
      </c>
      <c r="I28" s="3" t="s">
        <v>39</v>
      </c>
      <c r="J28" s="3" t="s">
        <v>40</v>
      </c>
      <c r="K28" s="3" t="s">
        <v>41</v>
      </c>
      <c r="L28" s="3" t="s">
        <v>31</v>
      </c>
      <c r="M28" s="4">
        <v>46079</v>
      </c>
      <c r="N28" s="3">
        <v>1</v>
      </c>
      <c r="O28" s="5">
        <v>30999</v>
      </c>
      <c r="P28" s="3">
        <v>0</v>
      </c>
      <c r="Q28" s="5">
        <v>30999</v>
      </c>
      <c r="R28" s="5">
        <v>0</v>
      </c>
      <c r="S28" s="10">
        <f t="shared" si="0"/>
        <v>30999</v>
      </c>
      <c r="T28" s="5">
        <v>7749.75</v>
      </c>
      <c r="U28" s="3" t="s">
        <v>42</v>
      </c>
      <c r="V28" s="3" t="s">
        <v>52</v>
      </c>
      <c r="W28" s="3" t="s">
        <v>53</v>
      </c>
    </row>
    <row r="29" spans="1:23" x14ac:dyDescent="0.25">
      <c r="A29" s="3" t="s">
        <v>110</v>
      </c>
      <c r="B29" s="3">
        <v>111</v>
      </c>
      <c r="C29" s="3" t="s">
        <v>84</v>
      </c>
      <c r="D29" s="3" t="s">
        <v>79</v>
      </c>
      <c r="E29" s="3" t="s">
        <v>37</v>
      </c>
      <c r="F29" s="3" t="s">
        <v>38</v>
      </c>
      <c r="G29" s="4">
        <v>45696</v>
      </c>
      <c r="H29" s="3">
        <v>27</v>
      </c>
      <c r="I29" s="3" t="s">
        <v>48</v>
      </c>
      <c r="J29" s="3" t="s">
        <v>49</v>
      </c>
      <c r="K29" s="3" t="s">
        <v>50</v>
      </c>
      <c r="L29" s="3" t="s">
        <v>31</v>
      </c>
      <c r="M29" s="4">
        <v>46081</v>
      </c>
      <c r="N29" s="3">
        <v>2</v>
      </c>
      <c r="O29" s="5">
        <v>16999</v>
      </c>
      <c r="P29" s="3">
        <v>7</v>
      </c>
      <c r="Q29" s="5">
        <v>33998</v>
      </c>
      <c r="R29" s="5">
        <v>2379.86</v>
      </c>
      <c r="S29" s="10">
        <f t="shared" si="0"/>
        <v>31618.14</v>
      </c>
      <c r="T29" s="5">
        <v>9485.4419999999991</v>
      </c>
      <c r="U29" s="3" t="s">
        <v>51</v>
      </c>
      <c r="V29" s="3" t="s">
        <v>33</v>
      </c>
      <c r="W29" s="3" t="s">
        <v>61</v>
      </c>
    </row>
    <row r="30" spans="1:23" x14ac:dyDescent="0.25">
      <c r="A30" s="3" t="s">
        <v>111</v>
      </c>
      <c r="B30" s="3">
        <v>112</v>
      </c>
      <c r="C30" s="3" t="s">
        <v>86</v>
      </c>
      <c r="D30" s="3" t="s">
        <v>87</v>
      </c>
      <c r="E30" s="3" t="s">
        <v>88</v>
      </c>
      <c r="F30" s="3" t="s">
        <v>38</v>
      </c>
      <c r="G30" s="4">
        <v>45700</v>
      </c>
      <c r="H30" s="3">
        <v>28</v>
      </c>
      <c r="I30" s="3" t="s">
        <v>57</v>
      </c>
      <c r="J30" s="3" t="s">
        <v>58</v>
      </c>
      <c r="K30" s="3" t="s">
        <v>59</v>
      </c>
      <c r="L30" s="3" t="s">
        <v>31</v>
      </c>
      <c r="M30" s="4">
        <v>46083</v>
      </c>
      <c r="N30" s="3">
        <v>5</v>
      </c>
      <c r="O30" s="5">
        <v>27999</v>
      </c>
      <c r="P30" s="3">
        <v>10</v>
      </c>
      <c r="Q30" s="5">
        <v>139995</v>
      </c>
      <c r="R30" s="5">
        <v>13999.5</v>
      </c>
      <c r="S30" s="10">
        <f t="shared" si="0"/>
        <v>125995.5</v>
      </c>
      <c r="T30" s="5">
        <v>12599.55</v>
      </c>
      <c r="U30" s="3" t="s">
        <v>60</v>
      </c>
      <c r="V30" s="3" t="s">
        <v>43</v>
      </c>
      <c r="W30" s="3" t="s">
        <v>69</v>
      </c>
    </row>
    <row r="31" spans="1:23" x14ac:dyDescent="0.25">
      <c r="A31" s="3" t="s">
        <v>112</v>
      </c>
      <c r="B31" s="3">
        <v>113</v>
      </c>
      <c r="C31" s="3" t="s">
        <v>90</v>
      </c>
      <c r="D31" s="3" t="s">
        <v>91</v>
      </c>
      <c r="E31" s="3" t="s">
        <v>26</v>
      </c>
      <c r="F31" s="3" t="s">
        <v>38</v>
      </c>
      <c r="G31" s="4">
        <v>45703</v>
      </c>
      <c r="H31" s="3">
        <v>20</v>
      </c>
      <c r="I31" s="3" t="s">
        <v>65</v>
      </c>
      <c r="J31" s="3" t="s">
        <v>66</v>
      </c>
      <c r="K31" s="3" t="s">
        <v>41</v>
      </c>
      <c r="L31" s="3" t="s">
        <v>67</v>
      </c>
      <c r="M31" s="4">
        <v>46085</v>
      </c>
      <c r="N31" s="3">
        <v>1</v>
      </c>
      <c r="O31" s="5">
        <v>8999</v>
      </c>
      <c r="P31" s="3">
        <v>5</v>
      </c>
      <c r="Q31" s="5">
        <v>8999</v>
      </c>
      <c r="R31" s="5">
        <v>449.95</v>
      </c>
      <c r="S31" s="10">
        <f t="shared" si="0"/>
        <v>8549.0499999999993</v>
      </c>
      <c r="T31" s="5">
        <v>1709.81</v>
      </c>
      <c r="U31" s="3" t="s">
        <v>68</v>
      </c>
      <c r="V31" s="3" t="s">
        <v>52</v>
      </c>
      <c r="W31" s="3" t="s">
        <v>72</v>
      </c>
    </row>
    <row r="32" spans="1:23" x14ac:dyDescent="0.25">
      <c r="A32" s="3" t="s">
        <v>113</v>
      </c>
      <c r="B32" s="3">
        <v>114</v>
      </c>
      <c r="C32" s="3" t="s">
        <v>93</v>
      </c>
      <c r="D32" s="3" t="s">
        <v>91</v>
      </c>
      <c r="E32" s="3" t="s">
        <v>26</v>
      </c>
      <c r="F32" s="3" t="s">
        <v>38</v>
      </c>
      <c r="G32" s="4">
        <v>45706</v>
      </c>
      <c r="H32" s="3">
        <v>22</v>
      </c>
      <c r="I32" s="3" t="s">
        <v>28</v>
      </c>
      <c r="J32" s="3" t="s">
        <v>29</v>
      </c>
      <c r="K32" s="3" t="s">
        <v>30</v>
      </c>
      <c r="L32" s="3" t="s">
        <v>31</v>
      </c>
      <c r="M32" s="4">
        <v>46087</v>
      </c>
      <c r="N32" s="3">
        <v>1</v>
      </c>
      <c r="O32" s="5">
        <v>69999</v>
      </c>
      <c r="P32" s="3">
        <v>0</v>
      </c>
      <c r="Q32" s="5">
        <v>69999</v>
      </c>
      <c r="R32" s="5">
        <v>0</v>
      </c>
      <c r="S32" s="10">
        <f t="shared" si="0"/>
        <v>69999</v>
      </c>
      <c r="T32" s="5">
        <v>17499.75</v>
      </c>
      <c r="U32" s="3" t="s">
        <v>32</v>
      </c>
      <c r="V32" s="3" t="s">
        <v>33</v>
      </c>
      <c r="W32" s="3" t="s">
        <v>34</v>
      </c>
    </row>
    <row r="33" spans="1:23" x14ac:dyDescent="0.25">
      <c r="A33" s="3" t="s">
        <v>114</v>
      </c>
      <c r="B33" s="3">
        <v>115</v>
      </c>
      <c r="C33" s="3" t="s">
        <v>95</v>
      </c>
      <c r="D33" s="3" t="s">
        <v>82</v>
      </c>
      <c r="E33" s="3" t="s">
        <v>37</v>
      </c>
      <c r="F33" s="3" t="s">
        <v>27</v>
      </c>
      <c r="G33" s="4">
        <v>45708</v>
      </c>
      <c r="H33" s="3">
        <v>24</v>
      </c>
      <c r="I33" s="3" t="s">
        <v>39</v>
      </c>
      <c r="J33" s="3" t="s">
        <v>40</v>
      </c>
      <c r="K33" s="3" t="s">
        <v>41</v>
      </c>
      <c r="L33" s="3" t="s">
        <v>31</v>
      </c>
      <c r="M33" s="4">
        <v>46089</v>
      </c>
      <c r="N33" s="3">
        <v>2</v>
      </c>
      <c r="O33" s="5">
        <v>30999</v>
      </c>
      <c r="P33" s="3">
        <v>5</v>
      </c>
      <c r="Q33" s="5">
        <v>61998</v>
      </c>
      <c r="R33" s="5">
        <v>3099.9</v>
      </c>
      <c r="S33" s="10">
        <f t="shared" si="0"/>
        <v>58898.1</v>
      </c>
      <c r="T33" s="5">
        <v>17669.43</v>
      </c>
      <c r="U33" s="3" t="s">
        <v>42</v>
      </c>
      <c r="V33" s="3" t="s">
        <v>43</v>
      </c>
      <c r="W33" s="3" t="s">
        <v>44</v>
      </c>
    </row>
    <row r="34" spans="1:23" x14ac:dyDescent="0.25">
      <c r="A34" s="3" t="s">
        <v>115</v>
      </c>
      <c r="B34" s="3">
        <v>116</v>
      </c>
      <c r="C34" s="3" t="s">
        <v>97</v>
      </c>
      <c r="D34" s="3" t="s">
        <v>82</v>
      </c>
      <c r="E34" s="3" t="s">
        <v>64</v>
      </c>
      <c r="F34" s="3" t="s">
        <v>27</v>
      </c>
      <c r="G34" s="4">
        <v>45710</v>
      </c>
      <c r="H34" s="3">
        <v>23</v>
      </c>
      <c r="I34" s="3" t="s">
        <v>48</v>
      </c>
      <c r="J34" s="3" t="s">
        <v>49</v>
      </c>
      <c r="K34" s="3" t="s">
        <v>50</v>
      </c>
      <c r="L34" s="3" t="s">
        <v>31</v>
      </c>
      <c r="M34" s="4">
        <v>46091</v>
      </c>
      <c r="N34" s="3">
        <v>1</v>
      </c>
      <c r="O34" s="5">
        <v>16999</v>
      </c>
      <c r="P34" s="3">
        <v>10</v>
      </c>
      <c r="Q34" s="5">
        <v>16999</v>
      </c>
      <c r="R34" s="5">
        <v>1699.9</v>
      </c>
      <c r="S34" s="10">
        <f t="shared" si="0"/>
        <v>15299.1</v>
      </c>
      <c r="T34" s="5">
        <v>1529.91</v>
      </c>
      <c r="U34" s="3" t="s">
        <v>51</v>
      </c>
      <c r="V34" s="3" t="s">
        <v>52</v>
      </c>
      <c r="W34" s="3" t="s">
        <v>53</v>
      </c>
    </row>
    <row r="35" spans="1:23" x14ac:dyDescent="0.25">
      <c r="A35" s="3" t="s">
        <v>116</v>
      </c>
      <c r="B35" s="3">
        <v>117</v>
      </c>
      <c r="C35" s="3" t="s">
        <v>99</v>
      </c>
      <c r="D35" s="3" t="s">
        <v>47</v>
      </c>
      <c r="E35" s="3" t="s">
        <v>26</v>
      </c>
      <c r="F35" s="3" t="s">
        <v>38</v>
      </c>
      <c r="G35" s="4">
        <v>45713</v>
      </c>
      <c r="H35" s="3">
        <v>26</v>
      </c>
      <c r="I35" s="3" t="s">
        <v>57</v>
      </c>
      <c r="J35" s="3" t="s">
        <v>58</v>
      </c>
      <c r="K35" s="3" t="s">
        <v>59</v>
      </c>
      <c r="L35" s="3" t="s">
        <v>31</v>
      </c>
      <c r="M35" s="4">
        <v>46093</v>
      </c>
      <c r="N35" s="3">
        <v>3</v>
      </c>
      <c r="O35" s="5">
        <v>27999</v>
      </c>
      <c r="P35" s="3">
        <v>5</v>
      </c>
      <c r="Q35" s="5">
        <v>83997</v>
      </c>
      <c r="R35" s="5">
        <v>4199.8500000000004</v>
      </c>
      <c r="S35" s="10">
        <f t="shared" si="0"/>
        <v>79797.149999999994</v>
      </c>
      <c r="T35" s="5">
        <v>15959.43</v>
      </c>
      <c r="U35" s="3" t="s">
        <v>60</v>
      </c>
      <c r="V35" s="3" t="s">
        <v>33</v>
      </c>
      <c r="W35" s="3" t="s">
        <v>61</v>
      </c>
    </row>
    <row r="36" spans="1:23" x14ac:dyDescent="0.25">
      <c r="A36" s="3" t="s">
        <v>117</v>
      </c>
      <c r="B36" s="3">
        <v>101</v>
      </c>
      <c r="C36" s="3" t="s">
        <v>24</v>
      </c>
      <c r="D36" s="3" t="s">
        <v>25</v>
      </c>
      <c r="E36" s="3" t="s">
        <v>26</v>
      </c>
      <c r="F36" s="3" t="s">
        <v>27</v>
      </c>
      <c r="G36" s="4">
        <v>45662</v>
      </c>
      <c r="H36" s="3">
        <v>25</v>
      </c>
      <c r="I36" s="3" t="s">
        <v>65</v>
      </c>
      <c r="J36" s="3" t="s">
        <v>66</v>
      </c>
      <c r="K36" s="3" t="s">
        <v>41</v>
      </c>
      <c r="L36" s="3" t="s">
        <v>67</v>
      </c>
      <c r="M36" s="4">
        <v>46095</v>
      </c>
      <c r="N36" s="3">
        <v>2</v>
      </c>
      <c r="O36" s="5">
        <v>8999</v>
      </c>
      <c r="P36" s="3">
        <v>8</v>
      </c>
      <c r="Q36" s="5">
        <v>17998</v>
      </c>
      <c r="R36" s="5">
        <v>1439.84</v>
      </c>
      <c r="S36" s="10">
        <f t="shared" si="0"/>
        <v>16558.16</v>
      </c>
      <c r="T36" s="5">
        <v>4139.54</v>
      </c>
      <c r="U36" s="3" t="s">
        <v>68</v>
      </c>
      <c r="V36" s="3" t="s">
        <v>43</v>
      </c>
      <c r="W36" s="3" t="s">
        <v>69</v>
      </c>
    </row>
    <row r="37" spans="1:23" x14ac:dyDescent="0.25">
      <c r="A37" s="3" t="s">
        <v>118</v>
      </c>
      <c r="B37" s="3">
        <v>102</v>
      </c>
      <c r="C37" s="3" t="s">
        <v>36</v>
      </c>
      <c r="D37" s="3" t="s">
        <v>25</v>
      </c>
      <c r="E37" s="3" t="s">
        <v>37</v>
      </c>
      <c r="F37" s="3" t="s">
        <v>38</v>
      </c>
      <c r="G37" s="4">
        <v>45665</v>
      </c>
      <c r="H37" s="3">
        <v>24</v>
      </c>
      <c r="I37" s="3" t="s">
        <v>28</v>
      </c>
      <c r="J37" s="3" t="s">
        <v>29</v>
      </c>
      <c r="K37" s="3" t="s">
        <v>30</v>
      </c>
      <c r="L37" s="3" t="s">
        <v>31</v>
      </c>
      <c r="M37" s="4">
        <v>46097</v>
      </c>
      <c r="N37" s="3">
        <v>4</v>
      </c>
      <c r="O37" s="5">
        <v>69999</v>
      </c>
      <c r="P37" s="3">
        <v>12</v>
      </c>
      <c r="Q37" s="5">
        <v>279996</v>
      </c>
      <c r="R37" s="5">
        <v>33599.519999999997</v>
      </c>
      <c r="S37" s="10">
        <f t="shared" si="0"/>
        <v>246396.48</v>
      </c>
      <c r="T37" s="5">
        <v>73918.944000000003</v>
      </c>
      <c r="U37" s="3" t="s">
        <v>32</v>
      </c>
      <c r="V37" s="3" t="s">
        <v>52</v>
      </c>
      <c r="W37" s="3" t="s">
        <v>72</v>
      </c>
    </row>
    <row r="38" spans="1:23" x14ac:dyDescent="0.25">
      <c r="A38" s="3" t="s">
        <v>119</v>
      </c>
      <c r="B38" s="3">
        <v>103</v>
      </c>
      <c r="C38" s="3" t="s">
        <v>46</v>
      </c>
      <c r="D38" s="3" t="s">
        <v>47</v>
      </c>
      <c r="E38" s="3" t="s">
        <v>26</v>
      </c>
      <c r="F38" s="3" t="s">
        <v>38</v>
      </c>
      <c r="G38" s="4">
        <v>45669</v>
      </c>
      <c r="H38" s="3">
        <v>23</v>
      </c>
      <c r="I38" s="3" t="s">
        <v>39</v>
      </c>
      <c r="J38" s="3" t="s">
        <v>40</v>
      </c>
      <c r="K38" s="3" t="s">
        <v>41</v>
      </c>
      <c r="L38" s="3" t="s">
        <v>31</v>
      </c>
      <c r="M38" s="4">
        <v>46099</v>
      </c>
      <c r="N38" s="3">
        <v>1</v>
      </c>
      <c r="O38" s="5">
        <v>30999</v>
      </c>
      <c r="P38" s="3">
        <v>0</v>
      </c>
      <c r="Q38" s="5">
        <v>30999</v>
      </c>
      <c r="R38" s="5">
        <v>0</v>
      </c>
      <c r="S38" s="10">
        <f t="shared" si="0"/>
        <v>30999</v>
      </c>
      <c r="T38" s="5">
        <v>3099.9</v>
      </c>
      <c r="U38" s="3" t="s">
        <v>42</v>
      </c>
      <c r="V38" s="3" t="s">
        <v>33</v>
      </c>
      <c r="W38" s="3" t="s">
        <v>34</v>
      </c>
    </row>
    <row r="39" spans="1:23" x14ac:dyDescent="0.25">
      <c r="A39" s="3" t="s">
        <v>120</v>
      </c>
      <c r="B39" s="3">
        <v>104</v>
      </c>
      <c r="C39" s="3" t="s">
        <v>55</v>
      </c>
      <c r="D39" s="3" t="s">
        <v>56</v>
      </c>
      <c r="E39" s="3" t="s">
        <v>26</v>
      </c>
      <c r="F39" s="3" t="s">
        <v>38</v>
      </c>
      <c r="G39" s="4">
        <v>45672</v>
      </c>
      <c r="H39" s="3">
        <v>26</v>
      </c>
      <c r="I39" s="3" t="s">
        <v>48</v>
      </c>
      <c r="J39" s="3" t="s">
        <v>49</v>
      </c>
      <c r="K39" s="3" t="s">
        <v>50</v>
      </c>
      <c r="L39" s="3" t="s">
        <v>31</v>
      </c>
      <c r="M39" s="4">
        <v>46101</v>
      </c>
      <c r="N39" s="3">
        <v>2</v>
      </c>
      <c r="O39" s="5">
        <v>16999</v>
      </c>
      <c r="P39" s="3">
        <v>7</v>
      </c>
      <c r="Q39" s="5">
        <v>33998</v>
      </c>
      <c r="R39" s="5">
        <v>2379.86</v>
      </c>
      <c r="S39" s="10">
        <f t="shared" si="0"/>
        <v>31618.14</v>
      </c>
      <c r="T39" s="5">
        <v>6323.6280000000006</v>
      </c>
      <c r="U39" s="3" t="s">
        <v>51</v>
      </c>
      <c r="V39" s="3" t="s">
        <v>43</v>
      </c>
      <c r="W39" s="3" t="s">
        <v>44</v>
      </c>
    </row>
    <row r="40" spans="1:23" x14ac:dyDescent="0.25">
      <c r="A40" s="3" t="s">
        <v>121</v>
      </c>
      <c r="B40" s="3">
        <v>105</v>
      </c>
      <c r="C40" s="3" t="s">
        <v>63</v>
      </c>
      <c r="D40" s="3" t="s">
        <v>56</v>
      </c>
      <c r="E40" s="3" t="s">
        <v>64</v>
      </c>
      <c r="F40" s="3" t="s">
        <v>38</v>
      </c>
      <c r="G40" s="4">
        <v>45677</v>
      </c>
      <c r="H40" s="3">
        <v>22</v>
      </c>
      <c r="I40" s="3" t="s">
        <v>57</v>
      </c>
      <c r="J40" s="3" t="s">
        <v>58</v>
      </c>
      <c r="K40" s="3" t="s">
        <v>59</v>
      </c>
      <c r="L40" s="3" t="s">
        <v>31</v>
      </c>
      <c r="M40" s="4">
        <v>46103</v>
      </c>
      <c r="N40" s="3">
        <v>5</v>
      </c>
      <c r="O40" s="5">
        <v>27999</v>
      </c>
      <c r="P40" s="3">
        <v>10</v>
      </c>
      <c r="Q40" s="5">
        <v>139995</v>
      </c>
      <c r="R40" s="5">
        <v>13999.5</v>
      </c>
      <c r="S40" s="10">
        <f t="shared" si="0"/>
        <v>125995.5</v>
      </c>
      <c r="T40" s="5">
        <v>31498.875</v>
      </c>
      <c r="U40" s="3" t="s">
        <v>60</v>
      </c>
      <c r="V40" s="3" t="s">
        <v>52</v>
      </c>
      <c r="W40" s="3" t="s">
        <v>53</v>
      </c>
    </row>
    <row r="41" spans="1:23" x14ac:dyDescent="0.25">
      <c r="A41" s="3" t="s">
        <v>122</v>
      </c>
      <c r="B41" s="3">
        <v>106</v>
      </c>
      <c r="C41" s="3" t="s">
        <v>71</v>
      </c>
      <c r="D41" s="3" t="s">
        <v>56</v>
      </c>
      <c r="E41" s="3" t="s">
        <v>26</v>
      </c>
      <c r="F41" s="3" t="s">
        <v>38</v>
      </c>
      <c r="G41" s="4">
        <v>45679</v>
      </c>
      <c r="H41" s="3">
        <v>24</v>
      </c>
      <c r="I41" s="3" t="s">
        <v>65</v>
      </c>
      <c r="J41" s="3" t="s">
        <v>66</v>
      </c>
      <c r="K41" s="3" t="s">
        <v>41</v>
      </c>
      <c r="L41" s="3" t="s">
        <v>67</v>
      </c>
      <c r="M41" s="4">
        <v>46105</v>
      </c>
      <c r="N41" s="3">
        <v>1</v>
      </c>
      <c r="O41" s="5">
        <v>8999</v>
      </c>
      <c r="P41" s="3">
        <v>5</v>
      </c>
      <c r="Q41" s="5">
        <v>8999</v>
      </c>
      <c r="R41" s="5">
        <v>449.95</v>
      </c>
      <c r="S41" s="10">
        <f t="shared" si="0"/>
        <v>8549.0499999999993</v>
      </c>
      <c r="T41" s="5">
        <v>2564.7150000000001</v>
      </c>
      <c r="U41" s="3" t="s">
        <v>68</v>
      </c>
      <c r="V41" s="3" t="s">
        <v>33</v>
      </c>
      <c r="W41" s="3" t="s">
        <v>61</v>
      </c>
    </row>
    <row r="42" spans="1:23" x14ac:dyDescent="0.25">
      <c r="A42" s="3" t="s">
        <v>123</v>
      </c>
      <c r="B42" s="3">
        <v>107</v>
      </c>
      <c r="C42" s="3" t="s">
        <v>74</v>
      </c>
      <c r="D42" s="3" t="s">
        <v>25</v>
      </c>
      <c r="E42" s="3" t="s">
        <v>26</v>
      </c>
      <c r="F42" s="3" t="s">
        <v>27</v>
      </c>
      <c r="G42" s="4">
        <v>45682</v>
      </c>
      <c r="H42" s="3">
        <v>27</v>
      </c>
      <c r="I42" s="3" t="s">
        <v>28</v>
      </c>
      <c r="J42" s="3" t="s">
        <v>29</v>
      </c>
      <c r="K42" s="3" t="s">
        <v>30</v>
      </c>
      <c r="L42" s="3" t="s">
        <v>31</v>
      </c>
      <c r="M42" s="4">
        <v>46107</v>
      </c>
      <c r="N42" s="3">
        <v>1</v>
      </c>
      <c r="O42" s="5">
        <v>69999</v>
      </c>
      <c r="P42" s="3">
        <v>0</v>
      </c>
      <c r="Q42" s="5">
        <v>69999</v>
      </c>
      <c r="R42" s="5">
        <v>0</v>
      </c>
      <c r="S42" s="10">
        <f t="shared" si="0"/>
        <v>69999</v>
      </c>
      <c r="T42" s="5">
        <v>6999.9000000000005</v>
      </c>
      <c r="U42" s="3" t="s">
        <v>32</v>
      </c>
      <c r="V42" s="3" t="s">
        <v>43</v>
      </c>
      <c r="W42" s="3" t="s">
        <v>69</v>
      </c>
    </row>
    <row r="43" spans="1:23" x14ac:dyDescent="0.25">
      <c r="A43" s="3" t="s">
        <v>124</v>
      </c>
      <c r="B43" s="3">
        <v>108</v>
      </c>
      <c r="C43" s="3" t="s">
        <v>76</v>
      </c>
      <c r="D43" s="3" t="s">
        <v>47</v>
      </c>
      <c r="E43" s="3" t="s">
        <v>37</v>
      </c>
      <c r="F43" s="3" t="s">
        <v>27</v>
      </c>
      <c r="G43" s="4">
        <v>45685</v>
      </c>
      <c r="H43" s="3">
        <v>21</v>
      </c>
      <c r="I43" s="3" t="s">
        <v>39</v>
      </c>
      <c r="J43" s="3" t="s">
        <v>40</v>
      </c>
      <c r="K43" s="3" t="s">
        <v>41</v>
      </c>
      <c r="L43" s="3" t="s">
        <v>31</v>
      </c>
      <c r="M43" s="4">
        <v>46109</v>
      </c>
      <c r="N43" s="3">
        <v>2</v>
      </c>
      <c r="O43" s="5">
        <v>30999</v>
      </c>
      <c r="P43" s="3">
        <v>5</v>
      </c>
      <c r="Q43" s="5">
        <v>61998</v>
      </c>
      <c r="R43" s="5">
        <v>3099.9</v>
      </c>
      <c r="S43" s="10">
        <f t="shared" si="0"/>
        <v>58898.1</v>
      </c>
      <c r="T43" s="5">
        <v>11779.62</v>
      </c>
      <c r="U43" s="3" t="s">
        <v>42</v>
      </c>
      <c r="V43" s="3" t="s">
        <v>52</v>
      </c>
      <c r="W43" s="3" t="s">
        <v>72</v>
      </c>
    </row>
    <row r="44" spans="1:23" x14ac:dyDescent="0.25">
      <c r="A44" s="3" t="s">
        <v>125</v>
      </c>
      <c r="B44" s="3">
        <v>109</v>
      </c>
      <c r="C44" s="3" t="s">
        <v>78</v>
      </c>
      <c r="D44" s="3" t="s">
        <v>79</v>
      </c>
      <c r="E44" s="3" t="s">
        <v>64</v>
      </c>
      <c r="F44" s="3" t="s">
        <v>27</v>
      </c>
      <c r="G44" s="4">
        <v>45690</v>
      </c>
      <c r="H44" s="3">
        <v>26</v>
      </c>
      <c r="I44" s="3" t="s">
        <v>48</v>
      </c>
      <c r="J44" s="3" t="s">
        <v>49</v>
      </c>
      <c r="K44" s="3" t="s">
        <v>50</v>
      </c>
      <c r="L44" s="3" t="s">
        <v>31</v>
      </c>
      <c r="M44" s="4">
        <v>46111</v>
      </c>
      <c r="N44" s="3">
        <v>1</v>
      </c>
      <c r="O44" s="5">
        <v>16999</v>
      </c>
      <c r="P44" s="3">
        <v>10</v>
      </c>
      <c r="Q44" s="5">
        <v>16999</v>
      </c>
      <c r="R44" s="5">
        <v>1699.9</v>
      </c>
      <c r="S44" s="10">
        <f t="shared" si="0"/>
        <v>15299.1</v>
      </c>
      <c r="T44" s="5">
        <v>3824.7750000000001</v>
      </c>
      <c r="U44" s="3" t="s">
        <v>51</v>
      </c>
      <c r="V44" s="3" t="s">
        <v>33</v>
      </c>
      <c r="W44" s="3" t="s">
        <v>34</v>
      </c>
    </row>
    <row r="45" spans="1:23" x14ac:dyDescent="0.25">
      <c r="A45" s="3" t="s">
        <v>126</v>
      </c>
      <c r="B45" s="3">
        <v>110</v>
      </c>
      <c r="C45" s="3" t="s">
        <v>81</v>
      </c>
      <c r="D45" s="3" t="s">
        <v>82</v>
      </c>
      <c r="E45" s="3" t="s">
        <v>26</v>
      </c>
      <c r="F45" s="3" t="s">
        <v>38</v>
      </c>
      <c r="G45" s="4">
        <v>45693</v>
      </c>
      <c r="H45" s="3">
        <v>25</v>
      </c>
      <c r="I45" s="3" t="s">
        <v>57</v>
      </c>
      <c r="J45" s="3" t="s">
        <v>58</v>
      </c>
      <c r="K45" s="3" t="s">
        <v>59</v>
      </c>
      <c r="L45" s="3" t="s">
        <v>31</v>
      </c>
      <c r="M45" s="4">
        <v>46113</v>
      </c>
      <c r="N45" s="3">
        <v>3</v>
      </c>
      <c r="O45" s="5">
        <v>27999</v>
      </c>
      <c r="P45" s="3">
        <v>5</v>
      </c>
      <c r="Q45" s="5">
        <v>83997</v>
      </c>
      <c r="R45" s="5">
        <v>4199.8500000000004</v>
      </c>
      <c r="S45" s="10">
        <f t="shared" si="0"/>
        <v>79797.149999999994</v>
      </c>
      <c r="T45" s="5">
        <v>23939.145</v>
      </c>
      <c r="U45" s="3" t="s">
        <v>60</v>
      </c>
      <c r="V45" s="3" t="s">
        <v>43</v>
      </c>
      <c r="W45" s="3" t="s">
        <v>44</v>
      </c>
    </row>
    <row r="46" spans="1:23" x14ac:dyDescent="0.25">
      <c r="A46" s="3" t="s">
        <v>127</v>
      </c>
      <c r="B46" s="3">
        <v>111</v>
      </c>
      <c r="C46" s="3" t="s">
        <v>84</v>
      </c>
      <c r="D46" s="3" t="s">
        <v>79</v>
      </c>
      <c r="E46" s="3" t="s">
        <v>37</v>
      </c>
      <c r="F46" s="3" t="s">
        <v>38</v>
      </c>
      <c r="G46" s="4">
        <v>45696</v>
      </c>
      <c r="H46" s="3">
        <v>27</v>
      </c>
      <c r="I46" s="3" t="s">
        <v>65</v>
      </c>
      <c r="J46" s="3" t="s">
        <v>66</v>
      </c>
      <c r="K46" s="3" t="s">
        <v>41</v>
      </c>
      <c r="L46" s="3" t="s">
        <v>67</v>
      </c>
      <c r="M46" s="4">
        <v>46115</v>
      </c>
      <c r="N46" s="3">
        <v>2</v>
      </c>
      <c r="O46" s="5">
        <v>8999</v>
      </c>
      <c r="P46" s="3">
        <v>8</v>
      </c>
      <c r="Q46" s="5">
        <v>17998</v>
      </c>
      <c r="R46" s="5">
        <v>1439.84</v>
      </c>
      <c r="S46" s="10">
        <f t="shared" si="0"/>
        <v>16558.16</v>
      </c>
      <c r="T46" s="5">
        <v>1655.816</v>
      </c>
      <c r="U46" s="3" t="s">
        <v>68</v>
      </c>
      <c r="V46" s="3" t="s">
        <v>52</v>
      </c>
      <c r="W46" s="3" t="s">
        <v>53</v>
      </c>
    </row>
    <row r="47" spans="1:23" x14ac:dyDescent="0.25">
      <c r="A47" s="3" t="s">
        <v>128</v>
      </c>
      <c r="B47" s="3">
        <v>112</v>
      </c>
      <c r="C47" s="3" t="s">
        <v>86</v>
      </c>
      <c r="D47" s="3" t="s">
        <v>87</v>
      </c>
      <c r="E47" s="3" t="s">
        <v>88</v>
      </c>
      <c r="F47" s="3" t="s">
        <v>38</v>
      </c>
      <c r="G47" s="4">
        <v>45700</v>
      </c>
      <c r="H47" s="3">
        <v>28</v>
      </c>
      <c r="I47" s="3" t="s">
        <v>28</v>
      </c>
      <c r="J47" s="3" t="s">
        <v>29</v>
      </c>
      <c r="K47" s="3" t="s">
        <v>30</v>
      </c>
      <c r="L47" s="3" t="s">
        <v>31</v>
      </c>
      <c r="M47" s="4">
        <v>46117</v>
      </c>
      <c r="N47" s="3">
        <v>4</v>
      </c>
      <c r="O47" s="5">
        <v>69999</v>
      </c>
      <c r="P47" s="3">
        <v>12</v>
      </c>
      <c r="Q47" s="5">
        <v>279996</v>
      </c>
      <c r="R47" s="5">
        <v>33599.519999999997</v>
      </c>
      <c r="S47" s="10">
        <f t="shared" si="0"/>
        <v>246396.48</v>
      </c>
      <c r="T47" s="5">
        <v>49279.296000000002</v>
      </c>
      <c r="U47" s="3" t="s">
        <v>32</v>
      </c>
      <c r="V47" s="3" t="s">
        <v>33</v>
      </c>
      <c r="W47" s="3" t="s">
        <v>61</v>
      </c>
    </row>
    <row r="48" spans="1:23" x14ac:dyDescent="0.25">
      <c r="A48" s="3" t="s">
        <v>129</v>
      </c>
      <c r="B48" s="3">
        <v>113</v>
      </c>
      <c r="C48" s="3" t="s">
        <v>90</v>
      </c>
      <c r="D48" s="3" t="s">
        <v>91</v>
      </c>
      <c r="E48" s="3" t="s">
        <v>26</v>
      </c>
      <c r="F48" s="3" t="s">
        <v>38</v>
      </c>
      <c r="G48" s="4">
        <v>45703</v>
      </c>
      <c r="H48" s="3">
        <v>20</v>
      </c>
      <c r="I48" s="3" t="s">
        <v>39</v>
      </c>
      <c r="J48" s="3" t="s">
        <v>40</v>
      </c>
      <c r="K48" s="3" t="s">
        <v>41</v>
      </c>
      <c r="L48" s="3" t="s">
        <v>31</v>
      </c>
      <c r="M48" s="4">
        <v>46119</v>
      </c>
      <c r="N48" s="3">
        <v>1</v>
      </c>
      <c r="O48" s="5">
        <v>30999</v>
      </c>
      <c r="P48" s="3">
        <v>0</v>
      </c>
      <c r="Q48" s="5">
        <v>30999</v>
      </c>
      <c r="R48" s="5">
        <v>0</v>
      </c>
      <c r="S48" s="10">
        <f t="shared" si="0"/>
        <v>30999</v>
      </c>
      <c r="T48" s="5">
        <v>7749.75</v>
      </c>
      <c r="U48" s="3" t="s">
        <v>42</v>
      </c>
      <c r="V48" s="3" t="s">
        <v>43</v>
      </c>
      <c r="W48" s="3" t="s">
        <v>69</v>
      </c>
    </row>
    <row r="49" spans="1:23" x14ac:dyDescent="0.25">
      <c r="A49" s="3" t="s">
        <v>130</v>
      </c>
      <c r="B49" s="3">
        <v>114</v>
      </c>
      <c r="C49" s="3" t="s">
        <v>93</v>
      </c>
      <c r="D49" s="3" t="s">
        <v>91</v>
      </c>
      <c r="E49" s="3" t="s">
        <v>26</v>
      </c>
      <c r="F49" s="3" t="s">
        <v>38</v>
      </c>
      <c r="G49" s="4">
        <v>45706</v>
      </c>
      <c r="H49" s="3">
        <v>22</v>
      </c>
      <c r="I49" s="3" t="s">
        <v>48</v>
      </c>
      <c r="J49" s="3" t="s">
        <v>49</v>
      </c>
      <c r="K49" s="3" t="s">
        <v>50</v>
      </c>
      <c r="L49" s="3" t="s">
        <v>31</v>
      </c>
      <c r="M49" s="4">
        <v>46121</v>
      </c>
      <c r="N49" s="3">
        <v>2</v>
      </c>
      <c r="O49" s="5">
        <v>16999</v>
      </c>
      <c r="P49" s="3">
        <v>7</v>
      </c>
      <c r="Q49" s="5">
        <v>33998</v>
      </c>
      <c r="R49" s="5">
        <v>2379.86</v>
      </c>
      <c r="S49" s="10">
        <f t="shared" si="0"/>
        <v>31618.14</v>
      </c>
      <c r="T49" s="5">
        <v>9485.4419999999991</v>
      </c>
      <c r="U49" s="3" t="s">
        <v>51</v>
      </c>
      <c r="V49" s="3" t="s">
        <v>52</v>
      </c>
      <c r="W49" s="3" t="s">
        <v>72</v>
      </c>
    </row>
    <row r="50" spans="1:23" x14ac:dyDescent="0.25">
      <c r="A50" s="3" t="s">
        <v>131</v>
      </c>
      <c r="B50" s="3">
        <v>115</v>
      </c>
      <c r="C50" s="3" t="s">
        <v>95</v>
      </c>
      <c r="D50" s="3" t="s">
        <v>82</v>
      </c>
      <c r="E50" s="3" t="s">
        <v>37</v>
      </c>
      <c r="F50" s="3" t="s">
        <v>27</v>
      </c>
      <c r="G50" s="4">
        <v>45708</v>
      </c>
      <c r="H50" s="3">
        <v>24</v>
      </c>
      <c r="I50" s="3" t="s">
        <v>57</v>
      </c>
      <c r="J50" s="3" t="s">
        <v>58</v>
      </c>
      <c r="K50" s="3" t="s">
        <v>59</v>
      </c>
      <c r="L50" s="3" t="s">
        <v>31</v>
      </c>
      <c r="M50" s="4">
        <v>46123</v>
      </c>
      <c r="N50" s="3">
        <v>5</v>
      </c>
      <c r="O50" s="5">
        <v>27999</v>
      </c>
      <c r="P50" s="3">
        <v>10</v>
      </c>
      <c r="Q50" s="5">
        <v>139995</v>
      </c>
      <c r="R50" s="5">
        <v>13999.5</v>
      </c>
      <c r="S50" s="10">
        <f t="shared" si="0"/>
        <v>125995.5</v>
      </c>
      <c r="T50" s="5">
        <v>12599.55</v>
      </c>
      <c r="U50" s="3" t="s">
        <v>60</v>
      </c>
      <c r="V50" s="3" t="s">
        <v>33</v>
      </c>
      <c r="W50" s="3" t="s">
        <v>34</v>
      </c>
    </row>
    <row r="51" spans="1:23" x14ac:dyDescent="0.25">
      <c r="A51" s="3" t="s">
        <v>132</v>
      </c>
      <c r="B51" s="3">
        <v>116</v>
      </c>
      <c r="C51" s="3" t="s">
        <v>97</v>
      </c>
      <c r="D51" s="3" t="s">
        <v>82</v>
      </c>
      <c r="E51" s="3" t="s">
        <v>64</v>
      </c>
      <c r="F51" s="3" t="s">
        <v>27</v>
      </c>
      <c r="G51" s="4">
        <v>45710</v>
      </c>
      <c r="H51" s="3">
        <v>23</v>
      </c>
      <c r="I51" s="3" t="s">
        <v>65</v>
      </c>
      <c r="J51" s="3" t="s">
        <v>66</v>
      </c>
      <c r="K51" s="3" t="s">
        <v>41</v>
      </c>
      <c r="L51" s="3" t="s">
        <v>67</v>
      </c>
      <c r="M51" s="4">
        <v>46125</v>
      </c>
      <c r="N51" s="3">
        <v>1</v>
      </c>
      <c r="O51" s="5">
        <v>8999</v>
      </c>
      <c r="P51" s="3">
        <v>5</v>
      </c>
      <c r="Q51" s="5">
        <v>8999</v>
      </c>
      <c r="R51" s="5">
        <v>449.95</v>
      </c>
      <c r="S51" s="10">
        <f t="shared" si="0"/>
        <v>8549.0499999999993</v>
      </c>
      <c r="T51" s="5">
        <v>1709.81</v>
      </c>
      <c r="U51" s="3" t="s">
        <v>68</v>
      </c>
      <c r="V51" s="3" t="s">
        <v>43</v>
      </c>
      <c r="W51" s="3" t="s">
        <v>44</v>
      </c>
    </row>
  </sheetData>
  <mergeCells count="1">
    <mergeCell ref="X1:Z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6980-3389-43A6-BF02-12C043EEA234}">
  <dimension ref="A1:B14"/>
  <sheetViews>
    <sheetView workbookViewId="0">
      <selection activeCell="C13" sqref="C13"/>
    </sheetView>
  </sheetViews>
  <sheetFormatPr defaultRowHeight="15" x14ac:dyDescent="0.25"/>
  <cols>
    <col min="1" max="1" width="13.140625" bestFit="1" customWidth="1"/>
    <col min="2" max="2" width="12.85546875" bestFit="1" customWidth="1"/>
  </cols>
  <sheetData>
    <row r="1" spans="1:2" ht="15.75" x14ac:dyDescent="0.25">
      <c r="A1" s="49" t="s">
        <v>219</v>
      </c>
      <c r="B1" s="49"/>
    </row>
    <row r="3" spans="1:2" x14ac:dyDescent="0.25">
      <c r="A3" s="17" t="s">
        <v>147</v>
      </c>
      <c r="B3" t="s">
        <v>218</v>
      </c>
    </row>
    <row r="4" spans="1:2" x14ac:dyDescent="0.25">
      <c r="A4" s="19" t="s">
        <v>200</v>
      </c>
      <c r="B4" s="18">
        <v>28000</v>
      </c>
    </row>
    <row r="5" spans="1:2" x14ac:dyDescent="0.25">
      <c r="A5" s="19" t="s">
        <v>204</v>
      </c>
      <c r="B5" s="18">
        <v>34000</v>
      </c>
    </row>
    <row r="6" spans="1:2" x14ac:dyDescent="0.25">
      <c r="A6" s="19" t="s">
        <v>207</v>
      </c>
      <c r="B6" s="18">
        <v>36000</v>
      </c>
    </row>
    <row r="7" spans="1:2" x14ac:dyDescent="0.25">
      <c r="A7" s="19" t="s">
        <v>201</v>
      </c>
      <c r="B7" s="18">
        <v>32000</v>
      </c>
    </row>
    <row r="8" spans="1:2" x14ac:dyDescent="0.25">
      <c r="A8" s="19" t="s">
        <v>206</v>
      </c>
      <c r="B8" s="18">
        <v>31000</v>
      </c>
    </row>
    <row r="9" spans="1:2" x14ac:dyDescent="0.25">
      <c r="A9" s="19" t="s">
        <v>203</v>
      </c>
      <c r="B9" s="18">
        <v>29000</v>
      </c>
    </row>
    <row r="10" spans="1:2" x14ac:dyDescent="0.25">
      <c r="A10" s="19" t="s">
        <v>84</v>
      </c>
      <c r="B10" s="18">
        <v>30000</v>
      </c>
    </row>
    <row r="11" spans="1:2" x14ac:dyDescent="0.25">
      <c r="A11" s="19" t="s">
        <v>202</v>
      </c>
      <c r="B11" s="18">
        <v>35000</v>
      </c>
    </row>
    <row r="12" spans="1:2" x14ac:dyDescent="0.25">
      <c r="A12" s="19" t="s">
        <v>208</v>
      </c>
      <c r="B12" s="18">
        <v>33000</v>
      </c>
    </row>
    <row r="13" spans="1:2" x14ac:dyDescent="0.25">
      <c r="A13" s="19" t="s">
        <v>205</v>
      </c>
      <c r="B13" s="18">
        <v>27000</v>
      </c>
    </row>
    <row r="14" spans="1:2" x14ac:dyDescent="0.25">
      <c r="A14" s="19" t="s">
        <v>148</v>
      </c>
      <c r="B14" s="18">
        <v>36000</v>
      </c>
    </row>
  </sheetData>
  <mergeCells count="1">
    <mergeCell ref="A1:B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D6D81-54DB-4FAB-A928-9F4366B14761}">
  <dimension ref="A3:B14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0.140625" bestFit="1" customWidth="1"/>
    <col min="4" max="4" width="8.7109375" bestFit="1" customWidth="1"/>
    <col min="5" max="6" width="6" bestFit="1" customWidth="1"/>
    <col min="7" max="7" width="11.28515625" bestFit="1" customWidth="1"/>
  </cols>
  <sheetData>
    <row r="3" spans="1:2" x14ac:dyDescent="0.25">
      <c r="A3" s="17" t="s">
        <v>147</v>
      </c>
      <c r="B3" t="s">
        <v>220</v>
      </c>
    </row>
    <row r="4" spans="1:2" x14ac:dyDescent="0.25">
      <c r="A4" s="19" t="s">
        <v>200</v>
      </c>
      <c r="B4" s="18">
        <v>28000</v>
      </c>
    </row>
    <row r="5" spans="1:2" x14ac:dyDescent="0.25">
      <c r="A5" s="19" t="s">
        <v>204</v>
      </c>
      <c r="B5" s="18">
        <v>34000</v>
      </c>
    </row>
    <row r="6" spans="1:2" x14ac:dyDescent="0.25">
      <c r="A6" s="19" t="s">
        <v>207</v>
      </c>
      <c r="B6" s="18">
        <v>36000</v>
      </c>
    </row>
    <row r="7" spans="1:2" x14ac:dyDescent="0.25">
      <c r="A7" s="19" t="s">
        <v>201</v>
      </c>
      <c r="B7" s="18">
        <v>32000</v>
      </c>
    </row>
    <row r="8" spans="1:2" x14ac:dyDescent="0.25">
      <c r="A8" s="19" t="s">
        <v>206</v>
      </c>
      <c r="B8" s="18">
        <v>31000</v>
      </c>
    </row>
    <row r="9" spans="1:2" x14ac:dyDescent="0.25">
      <c r="A9" s="19" t="s">
        <v>203</v>
      </c>
      <c r="B9" s="18">
        <v>29000</v>
      </c>
    </row>
    <row r="10" spans="1:2" x14ac:dyDescent="0.25">
      <c r="A10" s="19" t="s">
        <v>84</v>
      </c>
      <c r="B10" s="18">
        <v>30000</v>
      </c>
    </row>
    <row r="11" spans="1:2" x14ac:dyDescent="0.25">
      <c r="A11" s="19" t="s">
        <v>202</v>
      </c>
      <c r="B11" s="18">
        <v>35000</v>
      </c>
    </row>
    <row r="12" spans="1:2" x14ac:dyDescent="0.25">
      <c r="A12" s="19" t="s">
        <v>208</v>
      </c>
      <c r="B12" s="18">
        <v>33000</v>
      </c>
    </row>
    <row r="13" spans="1:2" x14ac:dyDescent="0.25">
      <c r="A13" s="19" t="s">
        <v>205</v>
      </c>
      <c r="B13" s="18">
        <v>27000</v>
      </c>
    </row>
    <row r="14" spans="1:2" x14ac:dyDescent="0.25">
      <c r="A14" s="19" t="s">
        <v>148</v>
      </c>
      <c r="B14" s="18">
        <v>27000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A488-D3A3-4A70-8360-3FA3204EB312}">
  <dimension ref="A1:G11"/>
  <sheetViews>
    <sheetView workbookViewId="0">
      <selection activeCell="G8" sqref="G8"/>
    </sheetView>
  </sheetViews>
  <sheetFormatPr defaultRowHeight="15" x14ac:dyDescent="0.25"/>
  <cols>
    <col min="5" max="5" width="12.5703125" customWidth="1"/>
    <col min="6" max="6" width="12.140625" customWidth="1"/>
    <col min="7" max="7" width="11.140625" customWidth="1"/>
  </cols>
  <sheetData>
    <row r="1" spans="1:7" ht="15.75" x14ac:dyDescent="0.25">
      <c r="A1" s="35" t="s">
        <v>198</v>
      </c>
      <c r="B1" s="35" t="s">
        <v>2</v>
      </c>
      <c r="C1" s="35" t="s">
        <v>3</v>
      </c>
      <c r="D1" s="35" t="s">
        <v>199</v>
      </c>
      <c r="E1" s="57" t="s">
        <v>221</v>
      </c>
      <c r="F1" s="43"/>
      <c r="G1" s="43"/>
    </row>
    <row r="2" spans="1:7" x14ac:dyDescent="0.25">
      <c r="A2" s="36">
        <v>201</v>
      </c>
      <c r="B2" s="36" t="s">
        <v>200</v>
      </c>
      <c r="C2" s="3" t="s">
        <v>25</v>
      </c>
      <c r="D2" s="37">
        <v>28000</v>
      </c>
      <c r="E2" s="3" t="str">
        <f>IF(D2&gt;30000,"A", IF(D2&lt;30000,"B","C"))</f>
        <v>B</v>
      </c>
    </row>
    <row r="3" spans="1:7" x14ac:dyDescent="0.25">
      <c r="A3" s="36">
        <v>202</v>
      </c>
      <c r="B3" s="36" t="s">
        <v>201</v>
      </c>
      <c r="C3" s="3" t="s">
        <v>47</v>
      </c>
      <c r="D3" s="37">
        <v>32000</v>
      </c>
      <c r="E3" s="3" t="str">
        <f t="shared" ref="E3:E11" si="0">IF(D3&gt;30000,"A", IF(D3&lt;30000,"B","C"))</f>
        <v>A</v>
      </c>
    </row>
    <row r="4" spans="1:7" x14ac:dyDescent="0.25">
      <c r="A4" s="36">
        <v>203</v>
      </c>
      <c r="B4" s="36" t="s">
        <v>202</v>
      </c>
      <c r="C4" s="3" t="s">
        <v>56</v>
      </c>
      <c r="D4" s="37">
        <v>35000</v>
      </c>
      <c r="E4" s="3" t="str">
        <f t="shared" si="0"/>
        <v>A</v>
      </c>
    </row>
    <row r="5" spans="1:7" x14ac:dyDescent="0.25">
      <c r="A5" s="36">
        <v>204</v>
      </c>
      <c r="B5" s="36" t="s">
        <v>84</v>
      </c>
      <c r="C5" s="3" t="s">
        <v>47</v>
      </c>
      <c r="D5" s="37">
        <v>30000</v>
      </c>
      <c r="E5" s="3" t="str">
        <f t="shared" si="0"/>
        <v>C</v>
      </c>
    </row>
    <row r="6" spans="1:7" x14ac:dyDescent="0.25">
      <c r="A6" s="36">
        <v>205</v>
      </c>
      <c r="B6" s="36" t="s">
        <v>203</v>
      </c>
      <c r="C6" s="3" t="s">
        <v>82</v>
      </c>
      <c r="D6" s="37">
        <v>29000</v>
      </c>
      <c r="E6" s="3" t="str">
        <f t="shared" si="0"/>
        <v>B</v>
      </c>
    </row>
    <row r="7" spans="1:7" x14ac:dyDescent="0.25">
      <c r="A7" s="36">
        <v>206</v>
      </c>
      <c r="B7" s="36" t="s">
        <v>204</v>
      </c>
      <c r="C7" s="3" t="s">
        <v>47</v>
      </c>
      <c r="D7" s="37">
        <v>34000</v>
      </c>
      <c r="E7" s="3" t="str">
        <f t="shared" si="0"/>
        <v>A</v>
      </c>
    </row>
    <row r="8" spans="1:7" x14ac:dyDescent="0.25">
      <c r="A8" s="36">
        <v>207</v>
      </c>
      <c r="B8" s="36" t="s">
        <v>205</v>
      </c>
      <c r="C8" s="3" t="s">
        <v>91</v>
      </c>
      <c r="D8" s="37">
        <v>27000</v>
      </c>
      <c r="E8" s="3" t="str">
        <f t="shared" si="0"/>
        <v>B</v>
      </c>
    </row>
    <row r="9" spans="1:7" x14ac:dyDescent="0.25">
      <c r="A9" s="36">
        <v>208</v>
      </c>
      <c r="B9" s="36" t="s">
        <v>206</v>
      </c>
      <c r="C9" s="3" t="s">
        <v>25</v>
      </c>
      <c r="D9" s="37">
        <v>31000</v>
      </c>
      <c r="E9" s="3" t="str">
        <f t="shared" si="0"/>
        <v>A</v>
      </c>
    </row>
    <row r="10" spans="1:7" x14ac:dyDescent="0.25">
      <c r="A10" s="36">
        <v>209</v>
      </c>
      <c r="B10" s="36" t="s">
        <v>207</v>
      </c>
      <c r="C10" s="3" t="s">
        <v>47</v>
      </c>
      <c r="D10" s="37">
        <v>36000</v>
      </c>
      <c r="E10" s="3" t="str">
        <f t="shared" si="0"/>
        <v>A</v>
      </c>
    </row>
    <row r="11" spans="1:7" x14ac:dyDescent="0.25">
      <c r="A11" s="36">
        <v>210</v>
      </c>
      <c r="B11" s="36" t="s">
        <v>208</v>
      </c>
      <c r="C11" s="3" t="s">
        <v>56</v>
      </c>
      <c r="D11" s="37">
        <v>33000</v>
      </c>
      <c r="E11" s="3" t="str">
        <f t="shared" si="0"/>
        <v>A</v>
      </c>
    </row>
  </sheetData>
  <mergeCells count="1">
    <mergeCell ref="E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604E-2ACC-4FA8-911B-26320257D141}">
  <dimension ref="A1:AG51"/>
  <sheetViews>
    <sheetView tabSelected="1" topLeftCell="R1" zoomScale="105" workbookViewId="0">
      <selection activeCell="Y2" sqref="Y2"/>
    </sheetView>
  </sheetViews>
  <sheetFormatPr defaultRowHeight="15" x14ac:dyDescent="0.25"/>
  <cols>
    <col min="2" max="2" width="9.28515625" bestFit="1" customWidth="1"/>
    <col min="7" max="7" width="9.7109375" bestFit="1" customWidth="1"/>
    <col min="8" max="8" width="9.28515625" bestFit="1" customWidth="1"/>
    <col min="13" max="13" width="9.7109375" bestFit="1" customWidth="1"/>
    <col min="14" max="16" width="9.28515625" bestFit="1" customWidth="1"/>
    <col min="17" max="17" width="10.140625" bestFit="1" customWidth="1"/>
    <col min="18" max="18" width="9.28515625" bestFit="1" customWidth="1"/>
    <col min="19" max="19" width="10.140625" bestFit="1" customWidth="1"/>
    <col min="20" max="20" width="9.28515625" bestFit="1" customWidth="1"/>
    <col min="24" max="24" width="6" customWidth="1"/>
    <col min="26" max="26" width="6.5703125" customWidth="1"/>
    <col min="27" max="27" width="10.28515625" customWidth="1"/>
    <col min="28" max="28" width="11.28515625" customWidth="1"/>
    <col min="29" max="29" width="12.7109375" customWidth="1"/>
    <col min="30" max="30" width="11.140625" customWidth="1"/>
    <col min="31" max="31" width="10.28515625" customWidth="1"/>
    <col min="32" max="32" width="12.5703125" customWidth="1"/>
    <col min="33" max="33" width="14.42578125" customWidth="1"/>
    <col min="34" max="34" width="13.42578125" customWidth="1"/>
    <col min="35" max="35" width="17.140625" customWidth="1"/>
  </cols>
  <sheetData>
    <row r="1" spans="1:33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49" t="s">
        <v>222</v>
      </c>
      <c r="Z1" s="49"/>
      <c r="AA1" s="49"/>
      <c r="AB1" s="49"/>
      <c r="AC1" s="49"/>
      <c r="AD1" s="49"/>
      <c r="AE1" s="49"/>
      <c r="AF1" s="49"/>
      <c r="AG1" s="49"/>
    </row>
    <row r="2" spans="1:33" x14ac:dyDescent="0.25">
      <c r="A2" s="3" t="s">
        <v>23</v>
      </c>
      <c r="B2" s="3">
        <v>101</v>
      </c>
      <c r="C2" s="3" t="s">
        <v>24</v>
      </c>
      <c r="D2" s="3" t="s">
        <v>25</v>
      </c>
      <c r="E2" s="3" t="s">
        <v>26</v>
      </c>
      <c r="F2" s="3" t="s">
        <v>27</v>
      </c>
      <c r="G2" s="4">
        <v>45662</v>
      </c>
      <c r="H2" s="3">
        <v>25</v>
      </c>
      <c r="I2" s="3" t="s">
        <v>28</v>
      </c>
      <c r="J2" s="3" t="s">
        <v>29</v>
      </c>
      <c r="K2" s="3" t="s">
        <v>30</v>
      </c>
      <c r="L2" s="3" t="s">
        <v>31</v>
      </c>
      <c r="M2" s="4">
        <v>46027</v>
      </c>
      <c r="N2" s="3">
        <v>1</v>
      </c>
      <c r="O2" s="5">
        <v>69999</v>
      </c>
      <c r="P2" s="3">
        <v>0</v>
      </c>
      <c r="Q2" s="5">
        <v>69999</v>
      </c>
      <c r="R2" s="5">
        <v>0</v>
      </c>
      <c r="S2" s="5">
        <v>69999</v>
      </c>
      <c r="T2" s="5">
        <v>6999.9000000000005</v>
      </c>
      <c r="U2" s="3" t="s">
        <v>32</v>
      </c>
      <c r="V2" s="3" t="s">
        <v>33</v>
      </c>
      <c r="W2" s="3" t="s">
        <v>34</v>
      </c>
      <c r="Y2" s="39" cm="1">
        <f t="array" aca="1" ref="Y2:Y51" ca="1">DATEDIF(G2:G51, TODAY(), "M")</f>
        <v>20</v>
      </c>
    </row>
    <row r="3" spans="1:33" x14ac:dyDescent="0.25">
      <c r="A3" s="3" t="s">
        <v>35</v>
      </c>
      <c r="B3" s="3">
        <v>102</v>
      </c>
      <c r="C3" s="3" t="s">
        <v>36</v>
      </c>
      <c r="D3" s="3" t="s">
        <v>25</v>
      </c>
      <c r="E3" s="3" t="s">
        <v>37</v>
      </c>
      <c r="F3" s="3" t="s">
        <v>38</v>
      </c>
      <c r="G3" s="4">
        <v>45665</v>
      </c>
      <c r="H3" s="3">
        <v>24</v>
      </c>
      <c r="I3" s="3" t="s">
        <v>39</v>
      </c>
      <c r="J3" s="3" t="s">
        <v>40</v>
      </c>
      <c r="K3" s="3" t="s">
        <v>41</v>
      </c>
      <c r="L3" s="3" t="s">
        <v>31</v>
      </c>
      <c r="M3" s="4">
        <v>46029</v>
      </c>
      <c r="N3" s="3">
        <v>2</v>
      </c>
      <c r="O3" s="5">
        <v>30999</v>
      </c>
      <c r="P3" s="3">
        <v>5</v>
      </c>
      <c r="Q3" s="5">
        <v>61998</v>
      </c>
      <c r="R3" s="5">
        <v>3099.9</v>
      </c>
      <c r="S3" s="5">
        <v>58898.1</v>
      </c>
      <c r="T3" s="5">
        <v>11779.62</v>
      </c>
      <c r="U3" s="3" t="s">
        <v>42</v>
      </c>
      <c r="V3" s="3" t="s">
        <v>43</v>
      </c>
      <c r="W3" s="3" t="s">
        <v>44</v>
      </c>
      <c r="Y3" s="6">
        <f ca="1"/>
        <v>20</v>
      </c>
    </row>
    <row r="4" spans="1:33" x14ac:dyDescent="0.25">
      <c r="A4" s="3" t="s">
        <v>45</v>
      </c>
      <c r="B4" s="3">
        <v>103</v>
      </c>
      <c r="C4" s="3" t="s">
        <v>46</v>
      </c>
      <c r="D4" s="3" t="s">
        <v>47</v>
      </c>
      <c r="E4" s="3" t="s">
        <v>26</v>
      </c>
      <c r="F4" s="3" t="s">
        <v>38</v>
      </c>
      <c r="G4" s="4">
        <v>45669</v>
      </c>
      <c r="H4" s="3">
        <v>23</v>
      </c>
      <c r="I4" s="3" t="s">
        <v>48</v>
      </c>
      <c r="J4" s="3" t="s">
        <v>49</v>
      </c>
      <c r="K4" s="3" t="s">
        <v>50</v>
      </c>
      <c r="L4" s="3" t="s">
        <v>31</v>
      </c>
      <c r="M4" s="4">
        <v>46031</v>
      </c>
      <c r="N4" s="3">
        <v>1</v>
      </c>
      <c r="O4" s="5">
        <v>16999</v>
      </c>
      <c r="P4" s="3">
        <v>10</v>
      </c>
      <c r="Q4" s="5">
        <v>16999</v>
      </c>
      <c r="R4" s="5">
        <v>1699.9</v>
      </c>
      <c r="S4" s="5">
        <v>15299.1</v>
      </c>
      <c r="T4" s="5">
        <v>3824.7750000000001</v>
      </c>
      <c r="U4" s="3" t="s">
        <v>51</v>
      </c>
      <c r="V4" s="3" t="s">
        <v>52</v>
      </c>
      <c r="W4" s="3" t="s">
        <v>53</v>
      </c>
      <c r="Y4" s="6">
        <f ca="1"/>
        <v>20</v>
      </c>
    </row>
    <row r="5" spans="1:33" x14ac:dyDescent="0.25">
      <c r="A5" s="3" t="s">
        <v>54</v>
      </c>
      <c r="B5" s="3">
        <v>104</v>
      </c>
      <c r="C5" s="3" t="s">
        <v>55</v>
      </c>
      <c r="D5" s="3" t="s">
        <v>56</v>
      </c>
      <c r="E5" s="3" t="s">
        <v>26</v>
      </c>
      <c r="F5" s="3" t="s">
        <v>38</v>
      </c>
      <c r="G5" s="4">
        <v>45672</v>
      </c>
      <c r="H5" s="3">
        <v>26</v>
      </c>
      <c r="I5" s="3" t="s">
        <v>57</v>
      </c>
      <c r="J5" s="3" t="s">
        <v>58</v>
      </c>
      <c r="K5" s="3" t="s">
        <v>59</v>
      </c>
      <c r="L5" s="3" t="s">
        <v>31</v>
      </c>
      <c r="M5" s="4">
        <v>46033</v>
      </c>
      <c r="N5" s="3">
        <v>3</v>
      </c>
      <c r="O5" s="5">
        <v>27999</v>
      </c>
      <c r="P5" s="3">
        <v>5</v>
      </c>
      <c r="Q5" s="5">
        <v>83997</v>
      </c>
      <c r="R5" s="5">
        <v>4199.8500000000004</v>
      </c>
      <c r="S5" s="5">
        <v>79797.149999999994</v>
      </c>
      <c r="T5" s="5">
        <v>23939.145</v>
      </c>
      <c r="U5" s="3" t="s">
        <v>60</v>
      </c>
      <c r="V5" s="3" t="s">
        <v>33</v>
      </c>
      <c r="W5" s="3" t="s">
        <v>61</v>
      </c>
      <c r="Y5" s="6">
        <f ca="1"/>
        <v>19</v>
      </c>
    </row>
    <row r="6" spans="1:33" x14ac:dyDescent="0.25">
      <c r="A6" s="3" t="s">
        <v>62</v>
      </c>
      <c r="B6" s="3">
        <v>105</v>
      </c>
      <c r="C6" s="3" t="s">
        <v>63</v>
      </c>
      <c r="D6" s="3" t="s">
        <v>56</v>
      </c>
      <c r="E6" s="3" t="s">
        <v>64</v>
      </c>
      <c r="F6" s="3" t="s">
        <v>38</v>
      </c>
      <c r="G6" s="4">
        <v>45677</v>
      </c>
      <c r="H6" s="3">
        <v>22</v>
      </c>
      <c r="I6" s="3" t="s">
        <v>65</v>
      </c>
      <c r="J6" s="3" t="s">
        <v>66</v>
      </c>
      <c r="K6" s="3" t="s">
        <v>41</v>
      </c>
      <c r="L6" s="3" t="s">
        <v>67</v>
      </c>
      <c r="M6" s="4">
        <v>46035</v>
      </c>
      <c r="N6" s="3">
        <v>2</v>
      </c>
      <c r="O6" s="5">
        <v>8999</v>
      </c>
      <c r="P6" s="3">
        <v>8</v>
      </c>
      <c r="Q6" s="5">
        <v>17998</v>
      </c>
      <c r="R6" s="5">
        <v>1439.84</v>
      </c>
      <c r="S6" s="5">
        <v>16558.16</v>
      </c>
      <c r="T6" s="5">
        <v>1655.816</v>
      </c>
      <c r="U6" s="3" t="s">
        <v>68</v>
      </c>
      <c r="V6" s="3" t="s">
        <v>43</v>
      </c>
      <c r="W6" s="3" t="s">
        <v>69</v>
      </c>
      <c r="Y6" s="6">
        <f ca="1"/>
        <v>19</v>
      </c>
    </row>
    <row r="7" spans="1:33" x14ac:dyDescent="0.25">
      <c r="A7" s="3" t="s">
        <v>70</v>
      </c>
      <c r="B7" s="3">
        <v>106</v>
      </c>
      <c r="C7" s="3" t="s">
        <v>71</v>
      </c>
      <c r="D7" s="3" t="s">
        <v>56</v>
      </c>
      <c r="E7" s="3" t="s">
        <v>26</v>
      </c>
      <c r="F7" s="3" t="s">
        <v>38</v>
      </c>
      <c r="G7" s="4">
        <v>45679</v>
      </c>
      <c r="H7" s="3">
        <v>24</v>
      </c>
      <c r="I7" s="3" t="s">
        <v>28</v>
      </c>
      <c r="J7" s="3" t="s">
        <v>29</v>
      </c>
      <c r="K7" s="3" t="s">
        <v>30</v>
      </c>
      <c r="L7" s="3" t="s">
        <v>31</v>
      </c>
      <c r="M7" s="4">
        <v>46037</v>
      </c>
      <c r="N7" s="3">
        <v>4</v>
      </c>
      <c r="O7" s="5">
        <v>69999</v>
      </c>
      <c r="P7" s="3">
        <v>12</v>
      </c>
      <c r="Q7" s="5">
        <v>279996</v>
      </c>
      <c r="R7" s="5">
        <v>33599.519999999997</v>
      </c>
      <c r="S7" s="5">
        <v>246396.48</v>
      </c>
      <c r="T7" s="5">
        <v>49279.296000000002</v>
      </c>
      <c r="U7" s="3" t="s">
        <v>32</v>
      </c>
      <c r="V7" s="3" t="s">
        <v>52</v>
      </c>
      <c r="W7" s="3" t="s">
        <v>72</v>
      </c>
      <c r="Y7" s="6">
        <f ca="1"/>
        <v>19</v>
      </c>
    </row>
    <row r="8" spans="1:33" x14ac:dyDescent="0.25">
      <c r="A8" s="3" t="s">
        <v>73</v>
      </c>
      <c r="B8" s="3">
        <v>107</v>
      </c>
      <c r="C8" s="3" t="s">
        <v>74</v>
      </c>
      <c r="D8" s="3" t="s">
        <v>25</v>
      </c>
      <c r="E8" s="3" t="s">
        <v>26</v>
      </c>
      <c r="F8" s="3" t="s">
        <v>27</v>
      </c>
      <c r="G8" s="4">
        <v>45682</v>
      </c>
      <c r="H8" s="3">
        <v>27</v>
      </c>
      <c r="I8" s="3" t="s">
        <v>39</v>
      </c>
      <c r="J8" s="3" t="s">
        <v>40</v>
      </c>
      <c r="K8" s="3" t="s">
        <v>41</v>
      </c>
      <c r="L8" s="3" t="s">
        <v>31</v>
      </c>
      <c r="M8" s="4">
        <v>46039</v>
      </c>
      <c r="N8" s="3">
        <v>1</v>
      </c>
      <c r="O8" s="5">
        <v>30999</v>
      </c>
      <c r="P8" s="3">
        <v>0</v>
      </c>
      <c r="Q8" s="5">
        <v>30999</v>
      </c>
      <c r="R8" s="5">
        <v>0</v>
      </c>
      <c r="S8" s="5">
        <v>30999</v>
      </c>
      <c r="T8" s="5">
        <v>7749.75</v>
      </c>
      <c r="U8" s="3" t="s">
        <v>42</v>
      </c>
      <c r="V8" s="3" t="s">
        <v>33</v>
      </c>
      <c r="W8" s="3" t="s">
        <v>34</v>
      </c>
      <c r="Y8" s="6">
        <f ca="1"/>
        <v>19</v>
      </c>
    </row>
    <row r="9" spans="1:33" x14ac:dyDescent="0.25">
      <c r="A9" s="3" t="s">
        <v>75</v>
      </c>
      <c r="B9" s="3">
        <v>108</v>
      </c>
      <c r="C9" s="3" t="s">
        <v>76</v>
      </c>
      <c r="D9" s="3" t="s">
        <v>47</v>
      </c>
      <c r="E9" s="3" t="s">
        <v>37</v>
      </c>
      <c r="F9" s="3" t="s">
        <v>27</v>
      </c>
      <c r="G9" s="4">
        <v>45685</v>
      </c>
      <c r="H9" s="3">
        <v>21</v>
      </c>
      <c r="I9" s="3" t="s">
        <v>48</v>
      </c>
      <c r="J9" s="3" t="s">
        <v>49</v>
      </c>
      <c r="K9" s="3" t="s">
        <v>50</v>
      </c>
      <c r="L9" s="3" t="s">
        <v>31</v>
      </c>
      <c r="M9" s="4">
        <v>46041</v>
      </c>
      <c r="N9" s="3">
        <v>2</v>
      </c>
      <c r="O9" s="5">
        <v>16999</v>
      </c>
      <c r="P9" s="3">
        <v>7</v>
      </c>
      <c r="Q9" s="5">
        <v>33998</v>
      </c>
      <c r="R9" s="5">
        <v>2379.86</v>
      </c>
      <c r="S9" s="5">
        <v>31618.14</v>
      </c>
      <c r="T9" s="5">
        <v>9485.4419999999991</v>
      </c>
      <c r="U9" s="3" t="s">
        <v>51</v>
      </c>
      <c r="V9" s="3" t="s">
        <v>43</v>
      </c>
      <c r="W9" s="3" t="s">
        <v>44</v>
      </c>
      <c r="Y9" s="6">
        <f ca="1"/>
        <v>19</v>
      </c>
    </row>
    <row r="10" spans="1:33" x14ac:dyDescent="0.25">
      <c r="A10" s="3" t="s">
        <v>77</v>
      </c>
      <c r="B10" s="3">
        <v>109</v>
      </c>
      <c r="C10" s="3" t="s">
        <v>78</v>
      </c>
      <c r="D10" s="3" t="s">
        <v>79</v>
      </c>
      <c r="E10" s="3" t="s">
        <v>64</v>
      </c>
      <c r="F10" s="3" t="s">
        <v>27</v>
      </c>
      <c r="G10" s="4">
        <v>45690</v>
      </c>
      <c r="H10" s="3">
        <v>26</v>
      </c>
      <c r="I10" s="3" t="s">
        <v>57</v>
      </c>
      <c r="J10" s="3" t="s">
        <v>58</v>
      </c>
      <c r="K10" s="3" t="s">
        <v>59</v>
      </c>
      <c r="L10" s="3" t="s">
        <v>31</v>
      </c>
      <c r="M10" s="4">
        <v>46043</v>
      </c>
      <c r="N10" s="3">
        <v>5</v>
      </c>
      <c r="O10" s="5">
        <v>27999</v>
      </c>
      <c r="P10" s="3">
        <v>10</v>
      </c>
      <c r="Q10" s="5">
        <v>139995</v>
      </c>
      <c r="R10" s="5">
        <v>13999.5</v>
      </c>
      <c r="S10" s="5">
        <v>125995.5</v>
      </c>
      <c r="T10" s="5">
        <v>12599.55</v>
      </c>
      <c r="U10" s="3" t="s">
        <v>60</v>
      </c>
      <c r="V10" s="3" t="s">
        <v>52</v>
      </c>
      <c r="W10" s="3" t="s">
        <v>53</v>
      </c>
      <c r="Y10" s="6">
        <f ca="1"/>
        <v>19</v>
      </c>
    </row>
    <row r="11" spans="1:33" x14ac:dyDescent="0.25">
      <c r="A11" s="3" t="s">
        <v>80</v>
      </c>
      <c r="B11" s="3">
        <v>110</v>
      </c>
      <c r="C11" s="3" t="s">
        <v>81</v>
      </c>
      <c r="D11" s="3" t="s">
        <v>82</v>
      </c>
      <c r="E11" s="3" t="s">
        <v>26</v>
      </c>
      <c r="F11" s="3" t="s">
        <v>38</v>
      </c>
      <c r="G11" s="4">
        <v>45693</v>
      </c>
      <c r="H11" s="3">
        <v>25</v>
      </c>
      <c r="I11" s="3" t="s">
        <v>65</v>
      </c>
      <c r="J11" s="3" t="s">
        <v>66</v>
      </c>
      <c r="K11" s="3" t="s">
        <v>41</v>
      </c>
      <c r="L11" s="3" t="s">
        <v>67</v>
      </c>
      <c r="M11" s="4">
        <v>46045</v>
      </c>
      <c r="N11" s="3">
        <v>1</v>
      </c>
      <c r="O11" s="5">
        <v>8999</v>
      </c>
      <c r="P11" s="3">
        <v>5</v>
      </c>
      <c r="Q11" s="5">
        <v>8999</v>
      </c>
      <c r="R11" s="5">
        <v>449.95</v>
      </c>
      <c r="S11" s="5">
        <v>8549.0499999999993</v>
      </c>
      <c r="T11" s="5">
        <v>1709.81</v>
      </c>
      <c r="U11" s="3" t="s">
        <v>68</v>
      </c>
      <c r="V11" s="3" t="s">
        <v>33</v>
      </c>
      <c r="W11" s="3" t="s">
        <v>61</v>
      </c>
      <c r="Y11" s="6">
        <f ca="1"/>
        <v>19</v>
      </c>
    </row>
    <row r="12" spans="1:33" x14ac:dyDescent="0.25">
      <c r="A12" s="3" t="s">
        <v>83</v>
      </c>
      <c r="B12" s="3">
        <v>111</v>
      </c>
      <c r="C12" s="3" t="s">
        <v>84</v>
      </c>
      <c r="D12" s="3" t="s">
        <v>79</v>
      </c>
      <c r="E12" s="3" t="s">
        <v>37</v>
      </c>
      <c r="F12" s="3" t="s">
        <v>38</v>
      </c>
      <c r="G12" s="4">
        <v>45696</v>
      </c>
      <c r="H12" s="3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4">
        <v>46047</v>
      </c>
      <c r="N12" s="3">
        <v>1</v>
      </c>
      <c r="O12" s="5">
        <v>69999</v>
      </c>
      <c r="P12" s="3">
        <v>0</v>
      </c>
      <c r="Q12" s="5">
        <v>69999</v>
      </c>
      <c r="R12" s="5">
        <v>0</v>
      </c>
      <c r="S12" s="5">
        <v>69999</v>
      </c>
      <c r="T12" s="5">
        <v>17499.75</v>
      </c>
      <c r="U12" s="3" t="s">
        <v>32</v>
      </c>
      <c r="V12" s="3" t="s">
        <v>43</v>
      </c>
      <c r="W12" s="3" t="s">
        <v>69</v>
      </c>
      <c r="Y12" s="6">
        <f ca="1"/>
        <v>19</v>
      </c>
    </row>
    <row r="13" spans="1:33" x14ac:dyDescent="0.25">
      <c r="A13" s="3" t="s">
        <v>85</v>
      </c>
      <c r="B13" s="3">
        <v>112</v>
      </c>
      <c r="C13" s="3" t="s">
        <v>86</v>
      </c>
      <c r="D13" s="3" t="s">
        <v>87</v>
      </c>
      <c r="E13" s="3" t="s">
        <v>88</v>
      </c>
      <c r="F13" s="3" t="s">
        <v>38</v>
      </c>
      <c r="G13" s="4">
        <v>45700</v>
      </c>
      <c r="H13" s="3">
        <v>28</v>
      </c>
      <c r="I13" s="3" t="s">
        <v>39</v>
      </c>
      <c r="J13" s="3" t="s">
        <v>40</v>
      </c>
      <c r="K13" s="3" t="s">
        <v>41</v>
      </c>
      <c r="L13" s="3" t="s">
        <v>31</v>
      </c>
      <c r="M13" s="4">
        <v>46049</v>
      </c>
      <c r="N13" s="3">
        <v>2</v>
      </c>
      <c r="O13" s="5">
        <v>30999</v>
      </c>
      <c r="P13" s="3">
        <v>5</v>
      </c>
      <c r="Q13" s="5">
        <v>61998</v>
      </c>
      <c r="R13" s="5">
        <v>3099.9</v>
      </c>
      <c r="S13" s="5">
        <v>58898.1</v>
      </c>
      <c r="T13" s="5">
        <v>17669.43</v>
      </c>
      <c r="U13" s="3" t="s">
        <v>42</v>
      </c>
      <c r="V13" s="3" t="s">
        <v>52</v>
      </c>
      <c r="W13" s="3" t="s">
        <v>72</v>
      </c>
      <c r="Y13" s="6">
        <f ca="1"/>
        <v>19</v>
      </c>
    </row>
    <row r="14" spans="1:33" x14ac:dyDescent="0.25">
      <c r="A14" s="3" t="s">
        <v>89</v>
      </c>
      <c r="B14" s="3">
        <v>113</v>
      </c>
      <c r="C14" s="3" t="s">
        <v>90</v>
      </c>
      <c r="D14" s="3" t="s">
        <v>91</v>
      </c>
      <c r="E14" s="3" t="s">
        <v>26</v>
      </c>
      <c r="F14" s="3" t="s">
        <v>38</v>
      </c>
      <c r="G14" s="4">
        <v>45703</v>
      </c>
      <c r="H14" s="3">
        <v>20</v>
      </c>
      <c r="I14" s="3" t="s">
        <v>48</v>
      </c>
      <c r="J14" s="3" t="s">
        <v>49</v>
      </c>
      <c r="K14" s="3" t="s">
        <v>50</v>
      </c>
      <c r="L14" s="3" t="s">
        <v>31</v>
      </c>
      <c r="M14" s="4">
        <v>46051</v>
      </c>
      <c r="N14" s="3">
        <v>1</v>
      </c>
      <c r="O14" s="5">
        <v>16999</v>
      </c>
      <c r="P14" s="3">
        <v>10</v>
      </c>
      <c r="Q14" s="5">
        <v>16999</v>
      </c>
      <c r="R14" s="5">
        <v>1699.9</v>
      </c>
      <c r="S14" s="5">
        <v>15299.1</v>
      </c>
      <c r="T14" s="5">
        <v>1529.91</v>
      </c>
      <c r="U14" s="3" t="s">
        <v>51</v>
      </c>
      <c r="V14" s="3" t="s">
        <v>33</v>
      </c>
      <c r="W14" s="3" t="s">
        <v>34</v>
      </c>
      <c r="Y14" s="6">
        <f ca="1"/>
        <v>18</v>
      </c>
    </row>
    <row r="15" spans="1:33" x14ac:dyDescent="0.25">
      <c r="A15" s="3" t="s">
        <v>92</v>
      </c>
      <c r="B15" s="3">
        <v>114</v>
      </c>
      <c r="C15" s="3" t="s">
        <v>93</v>
      </c>
      <c r="D15" s="3" t="s">
        <v>91</v>
      </c>
      <c r="E15" s="3" t="s">
        <v>26</v>
      </c>
      <c r="F15" s="3" t="s">
        <v>38</v>
      </c>
      <c r="G15" s="4">
        <v>45706</v>
      </c>
      <c r="H15" s="3">
        <v>22</v>
      </c>
      <c r="I15" s="3" t="s">
        <v>57</v>
      </c>
      <c r="J15" s="3" t="s">
        <v>58</v>
      </c>
      <c r="K15" s="3" t="s">
        <v>59</v>
      </c>
      <c r="L15" s="3" t="s">
        <v>31</v>
      </c>
      <c r="M15" s="4">
        <v>46053</v>
      </c>
      <c r="N15" s="3">
        <v>3</v>
      </c>
      <c r="O15" s="5">
        <v>27999</v>
      </c>
      <c r="P15" s="3">
        <v>5</v>
      </c>
      <c r="Q15" s="5">
        <v>83997</v>
      </c>
      <c r="R15" s="5">
        <v>4199.8500000000004</v>
      </c>
      <c r="S15" s="5">
        <v>79797.149999999994</v>
      </c>
      <c r="T15" s="5">
        <v>15959.43</v>
      </c>
      <c r="U15" s="3" t="s">
        <v>60</v>
      </c>
      <c r="V15" s="3" t="s">
        <v>43</v>
      </c>
      <c r="W15" s="3" t="s">
        <v>44</v>
      </c>
      <c r="Y15" s="6">
        <f ca="1"/>
        <v>18</v>
      </c>
    </row>
    <row r="16" spans="1:33" x14ac:dyDescent="0.25">
      <c r="A16" s="3" t="s">
        <v>94</v>
      </c>
      <c r="B16" s="3">
        <v>115</v>
      </c>
      <c r="C16" s="3" t="s">
        <v>95</v>
      </c>
      <c r="D16" s="3" t="s">
        <v>82</v>
      </c>
      <c r="E16" s="3" t="s">
        <v>37</v>
      </c>
      <c r="F16" s="3" t="s">
        <v>27</v>
      </c>
      <c r="G16" s="4">
        <v>45708</v>
      </c>
      <c r="H16" s="3">
        <v>24</v>
      </c>
      <c r="I16" s="3" t="s">
        <v>65</v>
      </c>
      <c r="J16" s="3" t="s">
        <v>66</v>
      </c>
      <c r="K16" s="3" t="s">
        <v>41</v>
      </c>
      <c r="L16" s="3" t="s">
        <v>67</v>
      </c>
      <c r="M16" s="4">
        <v>46055</v>
      </c>
      <c r="N16" s="3">
        <v>2</v>
      </c>
      <c r="O16" s="5">
        <v>8999</v>
      </c>
      <c r="P16" s="3">
        <v>8</v>
      </c>
      <c r="Q16" s="5">
        <v>17998</v>
      </c>
      <c r="R16" s="5">
        <v>1439.84</v>
      </c>
      <c r="S16" s="5">
        <v>16558.16</v>
      </c>
      <c r="T16" s="5">
        <v>4139.54</v>
      </c>
      <c r="U16" s="3" t="s">
        <v>68</v>
      </c>
      <c r="V16" s="3" t="s">
        <v>52</v>
      </c>
      <c r="W16" s="3" t="s">
        <v>53</v>
      </c>
      <c r="Y16" s="6">
        <f ca="1"/>
        <v>18</v>
      </c>
    </row>
    <row r="17" spans="1:25" x14ac:dyDescent="0.25">
      <c r="A17" s="3" t="s">
        <v>96</v>
      </c>
      <c r="B17" s="3">
        <v>116</v>
      </c>
      <c r="C17" s="3" t="s">
        <v>97</v>
      </c>
      <c r="D17" s="3" t="s">
        <v>82</v>
      </c>
      <c r="E17" s="3" t="s">
        <v>64</v>
      </c>
      <c r="F17" s="3" t="s">
        <v>27</v>
      </c>
      <c r="G17" s="4">
        <v>45710</v>
      </c>
      <c r="H17" s="3">
        <v>23</v>
      </c>
      <c r="I17" s="3" t="s">
        <v>28</v>
      </c>
      <c r="J17" s="3" t="s">
        <v>29</v>
      </c>
      <c r="K17" s="3" t="s">
        <v>30</v>
      </c>
      <c r="L17" s="3" t="s">
        <v>31</v>
      </c>
      <c r="M17" s="4">
        <v>46057</v>
      </c>
      <c r="N17" s="3">
        <v>4</v>
      </c>
      <c r="O17" s="5">
        <v>69999</v>
      </c>
      <c r="P17" s="3">
        <v>12</v>
      </c>
      <c r="Q17" s="5">
        <v>279996</v>
      </c>
      <c r="R17" s="5">
        <v>33599.519999999997</v>
      </c>
      <c r="S17" s="5">
        <v>246396.48</v>
      </c>
      <c r="T17" s="5">
        <v>73918.944000000003</v>
      </c>
      <c r="U17" s="3" t="s">
        <v>32</v>
      </c>
      <c r="V17" s="3" t="s">
        <v>33</v>
      </c>
      <c r="W17" s="3" t="s">
        <v>61</v>
      </c>
      <c r="Y17" s="6">
        <f ca="1"/>
        <v>18</v>
      </c>
    </row>
    <row r="18" spans="1:25" x14ac:dyDescent="0.25">
      <c r="A18" s="3" t="s">
        <v>98</v>
      </c>
      <c r="B18" s="3">
        <v>117</v>
      </c>
      <c r="C18" s="3" t="s">
        <v>99</v>
      </c>
      <c r="D18" s="3" t="s">
        <v>47</v>
      </c>
      <c r="E18" s="3" t="s">
        <v>26</v>
      </c>
      <c r="F18" s="3" t="s">
        <v>38</v>
      </c>
      <c r="G18" s="4">
        <v>45713</v>
      </c>
      <c r="H18" s="3">
        <v>26</v>
      </c>
      <c r="I18" s="3" t="s">
        <v>39</v>
      </c>
      <c r="J18" s="3" t="s">
        <v>40</v>
      </c>
      <c r="K18" s="3" t="s">
        <v>41</v>
      </c>
      <c r="L18" s="3" t="s">
        <v>31</v>
      </c>
      <c r="M18" s="4">
        <v>46059</v>
      </c>
      <c r="N18" s="3">
        <v>1</v>
      </c>
      <c r="O18" s="5">
        <v>30999</v>
      </c>
      <c r="P18" s="3">
        <v>0</v>
      </c>
      <c r="Q18" s="5">
        <v>30999</v>
      </c>
      <c r="R18" s="5">
        <v>0</v>
      </c>
      <c r="S18" s="5">
        <v>30999</v>
      </c>
      <c r="T18" s="5">
        <v>3099.9</v>
      </c>
      <c r="U18" s="3" t="s">
        <v>42</v>
      </c>
      <c r="V18" s="3" t="s">
        <v>43</v>
      </c>
      <c r="W18" s="3" t="s">
        <v>69</v>
      </c>
      <c r="Y18" s="6">
        <f ca="1"/>
        <v>18</v>
      </c>
    </row>
    <row r="19" spans="1:25" x14ac:dyDescent="0.25">
      <c r="A19" s="3" t="s">
        <v>100</v>
      </c>
      <c r="B19" s="3">
        <v>101</v>
      </c>
      <c r="C19" s="3" t="s">
        <v>24</v>
      </c>
      <c r="D19" s="3" t="s">
        <v>25</v>
      </c>
      <c r="E19" s="3" t="s">
        <v>26</v>
      </c>
      <c r="F19" s="3" t="s">
        <v>27</v>
      </c>
      <c r="G19" s="4">
        <v>45662</v>
      </c>
      <c r="H19" s="3">
        <v>25</v>
      </c>
      <c r="I19" s="3" t="s">
        <v>48</v>
      </c>
      <c r="J19" s="3" t="s">
        <v>49</v>
      </c>
      <c r="K19" s="3" t="s">
        <v>50</v>
      </c>
      <c r="L19" s="3" t="s">
        <v>31</v>
      </c>
      <c r="M19" s="4">
        <v>46061</v>
      </c>
      <c r="N19" s="3">
        <v>2</v>
      </c>
      <c r="O19" s="5">
        <v>16999</v>
      </c>
      <c r="P19" s="3">
        <v>7</v>
      </c>
      <c r="Q19" s="5">
        <v>33998</v>
      </c>
      <c r="R19" s="5">
        <v>2379.86</v>
      </c>
      <c r="S19" s="5">
        <v>31618.14</v>
      </c>
      <c r="T19" s="5">
        <v>6323.6280000000006</v>
      </c>
      <c r="U19" s="3" t="s">
        <v>51</v>
      </c>
      <c r="V19" s="3" t="s">
        <v>52</v>
      </c>
      <c r="W19" s="3" t="s">
        <v>72</v>
      </c>
      <c r="Y19" s="6">
        <f ca="1"/>
        <v>20</v>
      </c>
    </row>
    <row r="20" spans="1:25" x14ac:dyDescent="0.25">
      <c r="A20" s="3" t="s">
        <v>101</v>
      </c>
      <c r="B20" s="3">
        <v>102</v>
      </c>
      <c r="C20" s="3" t="s">
        <v>36</v>
      </c>
      <c r="D20" s="3" t="s">
        <v>25</v>
      </c>
      <c r="E20" s="3" t="s">
        <v>37</v>
      </c>
      <c r="F20" s="3" t="s">
        <v>38</v>
      </c>
      <c r="G20" s="4">
        <v>45665</v>
      </c>
      <c r="H20" s="3">
        <v>24</v>
      </c>
      <c r="I20" s="3" t="s">
        <v>57</v>
      </c>
      <c r="J20" s="3" t="s">
        <v>58</v>
      </c>
      <c r="K20" s="3" t="s">
        <v>59</v>
      </c>
      <c r="L20" s="3" t="s">
        <v>31</v>
      </c>
      <c r="M20" s="4">
        <v>46063</v>
      </c>
      <c r="N20" s="3">
        <v>5</v>
      </c>
      <c r="O20" s="5">
        <v>27999</v>
      </c>
      <c r="P20" s="3">
        <v>10</v>
      </c>
      <c r="Q20" s="5">
        <v>139995</v>
      </c>
      <c r="R20" s="5">
        <v>13999.5</v>
      </c>
      <c r="S20" s="5">
        <v>125995.5</v>
      </c>
      <c r="T20" s="5">
        <v>31498.875</v>
      </c>
      <c r="U20" s="3" t="s">
        <v>60</v>
      </c>
      <c r="V20" s="3" t="s">
        <v>33</v>
      </c>
      <c r="W20" s="3" t="s">
        <v>34</v>
      </c>
      <c r="Y20" s="6">
        <f ca="1"/>
        <v>20</v>
      </c>
    </row>
    <row r="21" spans="1:25" x14ac:dyDescent="0.25">
      <c r="A21" s="3" t="s">
        <v>102</v>
      </c>
      <c r="B21" s="3">
        <v>103</v>
      </c>
      <c r="C21" s="3" t="s">
        <v>46</v>
      </c>
      <c r="D21" s="3" t="s">
        <v>47</v>
      </c>
      <c r="E21" s="3" t="s">
        <v>26</v>
      </c>
      <c r="F21" s="3" t="s">
        <v>38</v>
      </c>
      <c r="G21" s="4">
        <v>45669</v>
      </c>
      <c r="H21" s="3">
        <v>23</v>
      </c>
      <c r="I21" s="3" t="s">
        <v>65</v>
      </c>
      <c r="J21" s="3" t="s">
        <v>66</v>
      </c>
      <c r="K21" s="3" t="s">
        <v>41</v>
      </c>
      <c r="L21" s="3" t="s">
        <v>67</v>
      </c>
      <c r="M21" s="4">
        <v>46065</v>
      </c>
      <c r="N21" s="3">
        <v>1</v>
      </c>
      <c r="O21" s="5">
        <v>8999</v>
      </c>
      <c r="P21" s="3">
        <v>5</v>
      </c>
      <c r="Q21" s="5">
        <v>8999</v>
      </c>
      <c r="R21" s="5">
        <v>449.95</v>
      </c>
      <c r="S21" s="5">
        <v>8549.0499999999993</v>
      </c>
      <c r="T21" s="5">
        <v>2564.7150000000001</v>
      </c>
      <c r="U21" s="3" t="s">
        <v>68</v>
      </c>
      <c r="V21" s="3" t="s">
        <v>43</v>
      </c>
      <c r="W21" s="3" t="s">
        <v>44</v>
      </c>
      <c r="Y21" s="6">
        <f ca="1"/>
        <v>20</v>
      </c>
    </row>
    <row r="22" spans="1:25" x14ac:dyDescent="0.25">
      <c r="A22" s="3" t="s">
        <v>103</v>
      </c>
      <c r="B22" s="3">
        <v>104</v>
      </c>
      <c r="C22" s="3" t="s">
        <v>55</v>
      </c>
      <c r="D22" s="3" t="s">
        <v>56</v>
      </c>
      <c r="E22" s="3" t="s">
        <v>26</v>
      </c>
      <c r="F22" s="3" t="s">
        <v>38</v>
      </c>
      <c r="G22" s="4">
        <v>45672</v>
      </c>
      <c r="H22" s="3">
        <v>26</v>
      </c>
      <c r="I22" s="3" t="s">
        <v>28</v>
      </c>
      <c r="J22" s="3" t="s">
        <v>29</v>
      </c>
      <c r="K22" s="3" t="s">
        <v>30</v>
      </c>
      <c r="L22" s="3" t="s">
        <v>31</v>
      </c>
      <c r="M22" s="4">
        <v>46067</v>
      </c>
      <c r="N22" s="3">
        <v>1</v>
      </c>
      <c r="O22" s="5">
        <v>69999</v>
      </c>
      <c r="P22" s="3">
        <v>0</v>
      </c>
      <c r="Q22" s="5">
        <v>69999</v>
      </c>
      <c r="R22" s="5">
        <v>0</v>
      </c>
      <c r="S22" s="5">
        <v>69999</v>
      </c>
      <c r="T22" s="5">
        <v>6999.9000000000005</v>
      </c>
      <c r="U22" s="3" t="s">
        <v>32</v>
      </c>
      <c r="V22" s="3" t="s">
        <v>52</v>
      </c>
      <c r="W22" s="3" t="s">
        <v>53</v>
      </c>
      <c r="Y22" s="6">
        <f ca="1"/>
        <v>19</v>
      </c>
    </row>
    <row r="23" spans="1:25" x14ac:dyDescent="0.25">
      <c r="A23" s="3" t="s">
        <v>104</v>
      </c>
      <c r="B23" s="3">
        <v>105</v>
      </c>
      <c r="C23" s="3" t="s">
        <v>63</v>
      </c>
      <c r="D23" s="3" t="s">
        <v>56</v>
      </c>
      <c r="E23" s="3" t="s">
        <v>64</v>
      </c>
      <c r="F23" s="3" t="s">
        <v>38</v>
      </c>
      <c r="G23" s="4">
        <v>45677</v>
      </c>
      <c r="H23" s="3">
        <v>22</v>
      </c>
      <c r="I23" s="3" t="s">
        <v>39</v>
      </c>
      <c r="J23" s="3" t="s">
        <v>40</v>
      </c>
      <c r="K23" s="3" t="s">
        <v>41</v>
      </c>
      <c r="L23" s="3" t="s">
        <v>31</v>
      </c>
      <c r="M23" s="4">
        <v>46069</v>
      </c>
      <c r="N23" s="3">
        <v>2</v>
      </c>
      <c r="O23" s="5">
        <v>30999</v>
      </c>
      <c r="P23" s="3">
        <v>5</v>
      </c>
      <c r="Q23" s="5">
        <v>61998</v>
      </c>
      <c r="R23" s="5">
        <v>3099.9</v>
      </c>
      <c r="S23" s="5">
        <v>58898.1</v>
      </c>
      <c r="T23" s="5">
        <v>11779.62</v>
      </c>
      <c r="U23" s="3" t="s">
        <v>42</v>
      </c>
      <c r="V23" s="3" t="s">
        <v>33</v>
      </c>
      <c r="W23" s="3" t="s">
        <v>61</v>
      </c>
      <c r="Y23" s="6">
        <f ca="1"/>
        <v>19</v>
      </c>
    </row>
    <row r="24" spans="1:25" x14ac:dyDescent="0.25">
      <c r="A24" s="3" t="s">
        <v>105</v>
      </c>
      <c r="B24" s="3">
        <v>106</v>
      </c>
      <c r="C24" s="3" t="s">
        <v>71</v>
      </c>
      <c r="D24" s="3" t="s">
        <v>56</v>
      </c>
      <c r="E24" s="3" t="s">
        <v>26</v>
      </c>
      <c r="F24" s="3" t="s">
        <v>38</v>
      </c>
      <c r="G24" s="4">
        <v>45679</v>
      </c>
      <c r="H24" s="3">
        <v>24</v>
      </c>
      <c r="I24" s="3" t="s">
        <v>48</v>
      </c>
      <c r="J24" s="3" t="s">
        <v>49</v>
      </c>
      <c r="K24" s="3" t="s">
        <v>50</v>
      </c>
      <c r="L24" s="3" t="s">
        <v>31</v>
      </c>
      <c r="M24" s="4">
        <v>46071</v>
      </c>
      <c r="N24" s="3">
        <v>1</v>
      </c>
      <c r="O24" s="5">
        <v>16999</v>
      </c>
      <c r="P24" s="3">
        <v>10</v>
      </c>
      <c r="Q24" s="5">
        <v>16999</v>
      </c>
      <c r="R24" s="5">
        <v>1699.9</v>
      </c>
      <c r="S24" s="5">
        <v>15299.1</v>
      </c>
      <c r="T24" s="5">
        <v>3824.7750000000001</v>
      </c>
      <c r="U24" s="3" t="s">
        <v>51</v>
      </c>
      <c r="V24" s="3" t="s">
        <v>43</v>
      </c>
      <c r="W24" s="3" t="s">
        <v>69</v>
      </c>
      <c r="Y24" s="6">
        <f ca="1"/>
        <v>19</v>
      </c>
    </row>
    <row r="25" spans="1:25" x14ac:dyDescent="0.25">
      <c r="A25" s="3" t="s">
        <v>106</v>
      </c>
      <c r="B25" s="3">
        <v>107</v>
      </c>
      <c r="C25" s="3" t="s">
        <v>74</v>
      </c>
      <c r="D25" s="3" t="s">
        <v>25</v>
      </c>
      <c r="E25" s="3" t="s">
        <v>26</v>
      </c>
      <c r="F25" s="3" t="s">
        <v>27</v>
      </c>
      <c r="G25" s="4">
        <v>45682</v>
      </c>
      <c r="H25" s="3">
        <v>27</v>
      </c>
      <c r="I25" s="3" t="s">
        <v>57</v>
      </c>
      <c r="J25" s="3" t="s">
        <v>58</v>
      </c>
      <c r="K25" s="3" t="s">
        <v>59</v>
      </c>
      <c r="L25" s="3" t="s">
        <v>31</v>
      </c>
      <c r="M25" s="4">
        <v>46073</v>
      </c>
      <c r="N25" s="3">
        <v>3</v>
      </c>
      <c r="O25" s="5">
        <v>27999</v>
      </c>
      <c r="P25" s="3">
        <v>5</v>
      </c>
      <c r="Q25" s="5">
        <v>83997</v>
      </c>
      <c r="R25" s="5">
        <v>4199.8500000000004</v>
      </c>
      <c r="S25" s="5">
        <v>79797.149999999994</v>
      </c>
      <c r="T25" s="5">
        <v>23939.145</v>
      </c>
      <c r="U25" s="3" t="s">
        <v>60</v>
      </c>
      <c r="V25" s="3" t="s">
        <v>52</v>
      </c>
      <c r="W25" s="3" t="s">
        <v>72</v>
      </c>
      <c r="Y25" s="6">
        <f ca="1"/>
        <v>19</v>
      </c>
    </row>
    <row r="26" spans="1:25" x14ac:dyDescent="0.25">
      <c r="A26" s="3" t="s">
        <v>107</v>
      </c>
      <c r="B26" s="3">
        <v>108</v>
      </c>
      <c r="C26" s="3" t="s">
        <v>76</v>
      </c>
      <c r="D26" s="3" t="s">
        <v>47</v>
      </c>
      <c r="E26" s="3" t="s">
        <v>37</v>
      </c>
      <c r="F26" s="3" t="s">
        <v>27</v>
      </c>
      <c r="G26" s="4">
        <v>45685</v>
      </c>
      <c r="H26" s="3">
        <v>21</v>
      </c>
      <c r="I26" s="3" t="s">
        <v>65</v>
      </c>
      <c r="J26" s="3" t="s">
        <v>66</v>
      </c>
      <c r="K26" s="3" t="s">
        <v>41</v>
      </c>
      <c r="L26" s="3" t="s">
        <v>67</v>
      </c>
      <c r="M26" s="4">
        <v>46075</v>
      </c>
      <c r="N26" s="3">
        <v>2</v>
      </c>
      <c r="O26" s="5">
        <v>8999</v>
      </c>
      <c r="P26" s="3">
        <v>8</v>
      </c>
      <c r="Q26" s="5">
        <v>17998</v>
      </c>
      <c r="R26" s="5">
        <v>1439.84</v>
      </c>
      <c r="S26" s="5">
        <v>16558.16</v>
      </c>
      <c r="T26" s="5">
        <v>1655.816</v>
      </c>
      <c r="U26" s="3" t="s">
        <v>68</v>
      </c>
      <c r="V26" s="3" t="s">
        <v>33</v>
      </c>
      <c r="W26" s="3" t="s">
        <v>34</v>
      </c>
      <c r="Y26" s="6">
        <f ca="1"/>
        <v>19</v>
      </c>
    </row>
    <row r="27" spans="1:25" x14ac:dyDescent="0.25">
      <c r="A27" s="3" t="s">
        <v>108</v>
      </c>
      <c r="B27" s="3">
        <v>109</v>
      </c>
      <c r="C27" s="3" t="s">
        <v>78</v>
      </c>
      <c r="D27" s="3" t="s">
        <v>79</v>
      </c>
      <c r="E27" s="3" t="s">
        <v>64</v>
      </c>
      <c r="F27" s="3" t="s">
        <v>27</v>
      </c>
      <c r="G27" s="4">
        <v>45690</v>
      </c>
      <c r="H27" s="3">
        <v>26</v>
      </c>
      <c r="I27" s="3" t="s">
        <v>28</v>
      </c>
      <c r="J27" s="3" t="s">
        <v>29</v>
      </c>
      <c r="K27" s="3" t="s">
        <v>30</v>
      </c>
      <c r="L27" s="3" t="s">
        <v>31</v>
      </c>
      <c r="M27" s="4">
        <v>46077</v>
      </c>
      <c r="N27" s="3">
        <v>4</v>
      </c>
      <c r="O27" s="5">
        <v>69999</v>
      </c>
      <c r="P27" s="3">
        <v>12</v>
      </c>
      <c r="Q27" s="5">
        <v>279996</v>
      </c>
      <c r="R27" s="5">
        <v>33599.519999999997</v>
      </c>
      <c r="S27" s="5">
        <v>246396.48</v>
      </c>
      <c r="T27" s="5">
        <v>49279.296000000002</v>
      </c>
      <c r="U27" s="3" t="s">
        <v>32</v>
      </c>
      <c r="V27" s="3" t="s">
        <v>43</v>
      </c>
      <c r="W27" s="3" t="s">
        <v>44</v>
      </c>
      <c r="Y27" s="6">
        <f ca="1"/>
        <v>19</v>
      </c>
    </row>
    <row r="28" spans="1:25" x14ac:dyDescent="0.25">
      <c r="A28" s="3" t="s">
        <v>109</v>
      </c>
      <c r="B28" s="3">
        <v>110</v>
      </c>
      <c r="C28" s="3" t="s">
        <v>81</v>
      </c>
      <c r="D28" s="3" t="s">
        <v>82</v>
      </c>
      <c r="E28" s="3" t="s">
        <v>26</v>
      </c>
      <c r="F28" s="3" t="s">
        <v>38</v>
      </c>
      <c r="G28" s="4">
        <v>45693</v>
      </c>
      <c r="H28" s="3">
        <v>25</v>
      </c>
      <c r="I28" s="3" t="s">
        <v>39</v>
      </c>
      <c r="J28" s="3" t="s">
        <v>40</v>
      </c>
      <c r="K28" s="3" t="s">
        <v>41</v>
      </c>
      <c r="L28" s="3" t="s">
        <v>31</v>
      </c>
      <c r="M28" s="4">
        <v>46079</v>
      </c>
      <c r="N28" s="3">
        <v>1</v>
      </c>
      <c r="O28" s="5">
        <v>30999</v>
      </c>
      <c r="P28" s="3">
        <v>0</v>
      </c>
      <c r="Q28" s="5">
        <v>30999</v>
      </c>
      <c r="R28" s="5">
        <v>0</v>
      </c>
      <c r="S28" s="5">
        <v>30999</v>
      </c>
      <c r="T28" s="5">
        <v>7749.75</v>
      </c>
      <c r="U28" s="3" t="s">
        <v>42</v>
      </c>
      <c r="V28" s="3" t="s">
        <v>52</v>
      </c>
      <c r="W28" s="3" t="s">
        <v>53</v>
      </c>
      <c r="Y28" s="6">
        <f ca="1"/>
        <v>19</v>
      </c>
    </row>
    <row r="29" spans="1:25" x14ac:dyDescent="0.25">
      <c r="A29" s="3" t="s">
        <v>110</v>
      </c>
      <c r="B29" s="3">
        <v>111</v>
      </c>
      <c r="C29" s="3" t="s">
        <v>84</v>
      </c>
      <c r="D29" s="3" t="s">
        <v>79</v>
      </c>
      <c r="E29" s="3" t="s">
        <v>37</v>
      </c>
      <c r="F29" s="3" t="s">
        <v>38</v>
      </c>
      <c r="G29" s="4">
        <v>45696</v>
      </c>
      <c r="H29" s="3">
        <v>27</v>
      </c>
      <c r="I29" s="3" t="s">
        <v>48</v>
      </c>
      <c r="J29" s="3" t="s">
        <v>49</v>
      </c>
      <c r="K29" s="3" t="s">
        <v>50</v>
      </c>
      <c r="L29" s="3" t="s">
        <v>31</v>
      </c>
      <c r="M29" s="4">
        <v>46081</v>
      </c>
      <c r="N29" s="3">
        <v>2</v>
      </c>
      <c r="O29" s="5">
        <v>16999</v>
      </c>
      <c r="P29" s="3">
        <v>7</v>
      </c>
      <c r="Q29" s="5">
        <v>33998</v>
      </c>
      <c r="R29" s="5">
        <v>2379.86</v>
      </c>
      <c r="S29" s="5">
        <v>31618.14</v>
      </c>
      <c r="T29" s="5">
        <v>9485.4419999999991</v>
      </c>
      <c r="U29" s="3" t="s">
        <v>51</v>
      </c>
      <c r="V29" s="3" t="s">
        <v>33</v>
      </c>
      <c r="W29" s="3" t="s">
        <v>61</v>
      </c>
      <c r="Y29" s="6">
        <f ca="1"/>
        <v>19</v>
      </c>
    </row>
    <row r="30" spans="1:25" x14ac:dyDescent="0.25">
      <c r="A30" s="3" t="s">
        <v>111</v>
      </c>
      <c r="B30" s="3">
        <v>112</v>
      </c>
      <c r="C30" s="3" t="s">
        <v>86</v>
      </c>
      <c r="D30" s="3" t="s">
        <v>87</v>
      </c>
      <c r="E30" s="3" t="s">
        <v>88</v>
      </c>
      <c r="F30" s="3" t="s">
        <v>38</v>
      </c>
      <c r="G30" s="4">
        <v>45700</v>
      </c>
      <c r="H30" s="3">
        <v>28</v>
      </c>
      <c r="I30" s="3" t="s">
        <v>57</v>
      </c>
      <c r="J30" s="3" t="s">
        <v>58</v>
      </c>
      <c r="K30" s="3" t="s">
        <v>59</v>
      </c>
      <c r="L30" s="3" t="s">
        <v>31</v>
      </c>
      <c r="M30" s="4">
        <v>46083</v>
      </c>
      <c r="N30" s="3">
        <v>5</v>
      </c>
      <c r="O30" s="5">
        <v>27999</v>
      </c>
      <c r="P30" s="3">
        <v>10</v>
      </c>
      <c r="Q30" s="5">
        <v>139995</v>
      </c>
      <c r="R30" s="5">
        <v>13999.5</v>
      </c>
      <c r="S30" s="5">
        <v>125995.5</v>
      </c>
      <c r="T30" s="5">
        <v>12599.55</v>
      </c>
      <c r="U30" s="3" t="s">
        <v>60</v>
      </c>
      <c r="V30" s="3" t="s">
        <v>43</v>
      </c>
      <c r="W30" s="3" t="s">
        <v>69</v>
      </c>
      <c r="Y30" s="6">
        <f ca="1"/>
        <v>19</v>
      </c>
    </row>
    <row r="31" spans="1:25" x14ac:dyDescent="0.25">
      <c r="A31" s="3" t="s">
        <v>112</v>
      </c>
      <c r="B31" s="3">
        <v>113</v>
      </c>
      <c r="C31" s="3" t="s">
        <v>90</v>
      </c>
      <c r="D31" s="3" t="s">
        <v>91</v>
      </c>
      <c r="E31" s="3" t="s">
        <v>26</v>
      </c>
      <c r="F31" s="3" t="s">
        <v>38</v>
      </c>
      <c r="G31" s="4">
        <v>45703</v>
      </c>
      <c r="H31" s="3">
        <v>20</v>
      </c>
      <c r="I31" s="3" t="s">
        <v>65</v>
      </c>
      <c r="J31" s="3" t="s">
        <v>66</v>
      </c>
      <c r="K31" s="3" t="s">
        <v>41</v>
      </c>
      <c r="L31" s="3" t="s">
        <v>67</v>
      </c>
      <c r="M31" s="4">
        <v>46085</v>
      </c>
      <c r="N31" s="3">
        <v>1</v>
      </c>
      <c r="O31" s="5">
        <v>8999</v>
      </c>
      <c r="P31" s="3">
        <v>5</v>
      </c>
      <c r="Q31" s="5">
        <v>8999</v>
      </c>
      <c r="R31" s="5">
        <v>449.95</v>
      </c>
      <c r="S31" s="5">
        <v>8549.0499999999993</v>
      </c>
      <c r="T31" s="5">
        <v>1709.81</v>
      </c>
      <c r="U31" s="3" t="s">
        <v>68</v>
      </c>
      <c r="V31" s="3" t="s">
        <v>52</v>
      </c>
      <c r="W31" s="3" t="s">
        <v>72</v>
      </c>
      <c r="Y31" s="6">
        <f ca="1"/>
        <v>18</v>
      </c>
    </row>
    <row r="32" spans="1:25" x14ac:dyDescent="0.25">
      <c r="A32" s="3" t="s">
        <v>113</v>
      </c>
      <c r="B32" s="3">
        <v>114</v>
      </c>
      <c r="C32" s="3" t="s">
        <v>93</v>
      </c>
      <c r="D32" s="3" t="s">
        <v>91</v>
      </c>
      <c r="E32" s="3" t="s">
        <v>26</v>
      </c>
      <c r="F32" s="3" t="s">
        <v>38</v>
      </c>
      <c r="G32" s="4">
        <v>45706</v>
      </c>
      <c r="H32" s="3">
        <v>22</v>
      </c>
      <c r="I32" s="3" t="s">
        <v>28</v>
      </c>
      <c r="J32" s="3" t="s">
        <v>29</v>
      </c>
      <c r="K32" s="3" t="s">
        <v>30</v>
      </c>
      <c r="L32" s="3" t="s">
        <v>31</v>
      </c>
      <c r="M32" s="4">
        <v>46087</v>
      </c>
      <c r="N32" s="3">
        <v>1</v>
      </c>
      <c r="O32" s="5">
        <v>69999</v>
      </c>
      <c r="P32" s="3">
        <v>0</v>
      </c>
      <c r="Q32" s="5">
        <v>69999</v>
      </c>
      <c r="R32" s="5">
        <v>0</v>
      </c>
      <c r="S32" s="5">
        <v>69999</v>
      </c>
      <c r="T32" s="5">
        <v>17499.75</v>
      </c>
      <c r="U32" s="3" t="s">
        <v>32</v>
      </c>
      <c r="V32" s="3" t="s">
        <v>33</v>
      </c>
      <c r="W32" s="3" t="s">
        <v>34</v>
      </c>
      <c r="Y32" s="6">
        <f ca="1"/>
        <v>18</v>
      </c>
    </row>
    <row r="33" spans="1:25" x14ac:dyDescent="0.25">
      <c r="A33" s="3" t="s">
        <v>114</v>
      </c>
      <c r="B33" s="3">
        <v>115</v>
      </c>
      <c r="C33" s="3" t="s">
        <v>95</v>
      </c>
      <c r="D33" s="3" t="s">
        <v>82</v>
      </c>
      <c r="E33" s="3" t="s">
        <v>37</v>
      </c>
      <c r="F33" s="3" t="s">
        <v>27</v>
      </c>
      <c r="G33" s="4">
        <v>45708</v>
      </c>
      <c r="H33" s="3">
        <v>24</v>
      </c>
      <c r="I33" s="3" t="s">
        <v>39</v>
      </c>
      <c r="J33" s="3" t="s">
        <v>40</v>
      </c>
      <c r="K33" s="3" t="s">
        <v>41</v>
      </c>
      <c r="L33" s="3" t="s">
        <v>31</v>
      </c>
      <c r="M33" s="4">
        <v>46089</v>
      </c>
      <c r="N33" s="3">
        <v>2</v>
      </c>
      <c r="O33" s="5">
        <v>30999</v>
      </c>
      <c r="P33" s="3">
        <v>5</v>
      </c>
      <c r="Q33" s="5">
        <v>61998</v>
      </c>
      <c r="R33" s="5">
        <v>3099.9</v>
      </c>
      <c r="S33" s="5">
        <v>58898.1</v>
      </c>
      <c r="T33" s="5">
        <v>17669.43</v>
      </c>
      <c r="U33" s="3" t="s">
        <v>42</v>
      </c>
      <c r="V33" s="3" t="s">
        <v>43</v>
      </c>
      <c r="W33" s="3" t="s">
        <v>44</v>
      </c>
      <c r="Y33" s="6">
        <f ca="1"/>
        <v>18</v>
      </c>
    </row>
    <row r="34" spans="1:25" x14ac:dyDescent="0.25">
      <c r="A34" s="3" t="s">
        <v>115</v>
      </c>
      <c r="B34" s="3">
        <v>116</v>
      </c>
      <c r="C34" s="3" t="s">
        <v>97</v>
      </c>
      <c r="D34" s="3" t="s">
        <v>82</v>
      </c>
      <c r="E34" s="3" t="s">
        <v>64</v>
      </c>
      <c r="F34" s="3" t="s">
        <v>27</v>
      </c>
      <c r="G34" s="4">
        <v>45710</v>
      </c>
      <c r="H34" s="3">
        <v>23</v>
      </c>
      <c r="I34" s="3" t="s">
        <v>48</v>
      </c>
      <c r="J34" s="3" t="s">
        <v>49</v>
      </c>
      <c r="K34" s="3" t="s">
        <v>50</v>
      </c>
      <c r="L34" s="3" t="s">
        <v>31</v>
      </c>
      <c r="M34" s="4">
        <v>46091</v>
      </c>
      <c r="N34" s="3">
        <v>1</v>
      </c>
      <c r="O34" s="5">
        <v>16999</v>
      </c>
      <c r="P34" s="3">
        <v>10</v>
      </c>
      <c r="Q34" s="5">
        <v>16999</v>
      </c>
      <c r="R34" s="5">
        <v>1699.9</v>
      </c>
      <c r="S34" s="5">
        <v>15299.1</v>
      </c>
      <c r="T34" s="5">
        <v>1529.91</v>
      </c>
      <c r="U34" s="3" t="s">
        <v>51</v>
      </c>
      <c r="V34" s="3" t="s">
        <v>52</v>
      </c>
      <c r="W34" s="3" t="s">
        <v>53</v>
      </c>
      <c r="Y34" s="6">
        <f ca="1"/>
        <v>18</v>
      </c>
    </row>
    <row r="35" spans="1:25" x14ac:dyDescent="0.25">
      <c r="A35" s="3" t="s">
        <v>116</v>
      </c>
      <c r="B35" s="3">
        <v>117</v>
      </c>
      <c r="C35" s="3" t="s">
        <v>99</v>
      </c>
      <c r="D35" s="3" t="s">
        <v>47</v>
      </c>
      <c r="E35" s="3" t="s">
        <v>26</v>
      </c>
      <c r="F35" s="3" t="s">
        <v>38</v>
      </c>
      <c r="G35" s="4">
        <v>45713</v>
      </c>
      <c r="H35" s="3">
        <v>26</v>
      </c>
      <c r="I35" s="3" t="s">
        <v>57</v>
      </c>
      <c r="J35" s="3" t="s">
        <v>58</v>
      </c>
      <c r="K35" s="3" t="s">
        <v>59</v>
      </c>
      <c r="L35" s="3" t="s">
        <v>31</v>
      </c>
      <c r="M35" s="4">
        <v>46093</v>
      </c>
      <c r="N35" s="3">
        <v>3</v>
      </c>
      <c r="O35" s="5">
        <v>27999</v>
      </c>
      <c r="P35" s="3">
        <v>5</v>
      </c>
      <c r="Q35" s="5">
        <v>83997</v>
      </c>
      <c r="R35" s="5">
        <v>4199.8500000000004</v>
      </c>
      <c r="S35" s="5">
        <v>79797.149999999994</v>
      </c>
      <c r="T35" s="5">
        <v>15959.43</v>
      </c>
      <c r="U35" s="3" t="s">
        <v>60</v>
      </c>
      <c r="V35" s="3" t="s">
        <v>33</v>
      </c>
      <c r="W35" s="3" t="s">
        <v>61</v>
      </c>
      <c r="Y35" s="6">
        <f ca="1"/>
        <v>18</v>
      </c>
    </row>
    <row r="36" spans="1:25" x14ac:dyDescent="0.25">
      <c r="A36" s="3" t="s">
        <v>117</v>
      </c>
      <c r="B36" s="3">
        <v>101</v>
      </c>
      <c r="C36" s="3" t="s">
        <v>24</v>
      </c>
      <c r="D36" s="3" t="s">
        <v>25</v>
      </c>
      <c r="E36" s="3" t="s">
        <v>26</v>
      </c>
      <c r="F36" s="3" t="s">
        <v>27</v>
      </c>
      <c r="G36" s="4">
        <v>45662</v>
      </c>
      <c r="H36" s="3">
        <v>25</v>
      </c>
      <c r="I36" s="3" t="s">
        <v>65</v>
      </c>
      <c r="J36" s="3" t="s">
        <v>66</v>
      </c>
      <c r="K36" s="3" t="s">
        <v>41</v>
      </c>
      <c r="L36" s="3" t="s">
        <v>67</v>
      </c>
      <c r="M36" s="4">
        <v>46095</v>
      </c>
      <c r="N36" s="3">
        <v>2</v>
      </c>
      <c r="O36" s="5">
        <v>8999</v>
      </c>
      <c r="P36" s="3">
        <v>8</v>
      </c>
      <c r="Q36" s="5">
        <v>17998</v>
      </c>
      <c r="R36" s="5">
        <v>1439.84</v>
      </c>
      <c r="S36" s="5">
        <v>16558.16</v>
      </c>
      <c r="T36" s="5">
        <v>4139.54</v>
      </c>
      <c r="U36" s="3" t="s">
        <v>68</v>
      </c>
      <c r="V36" s="3" t="s">
        <v>43</v>
      </c>
      <c r="W36" s="3" t="s">
        <v>69</v>
      </c>
      <c r="Y36" s="6">
        <f ca="1"/>
        <v>20</v>
      </c>
    </row>
    <row r="37" spans="1:25" x14ac:dyDescent="0.25">
      <c r="A37" s="3" t="s">
        <v>118</v>
      </c>
      <c r="B37" s="3">
        <v>102</v>
      </c>
      <c r="C37" s="3" t="s">
        <v>36</v>
      </c>
      <c r="D37" s="3" t="s">
        <v>25</v>
      </c>
      <c r="E37" s="3" t="s">
        <v>37</v>
      </c>
      <c r="F37" s="3" t="s">
        <v>38</v>
      </c>
      <c r="G37" s="4">
        <v>45665</v>
      </c>
      <c r="H37" s="3">
        <v>24</v>
      </c>
      <c r="I37" s="3" t="s">
        <v>28</v>
      </c>
      <c r="J37" s="3" t="s">
        <v>29</v>
      </c>
      <c r="K37" s="3" t="s">
        <v>30</v>
      </c>
      <c r="L37" s="3" t="s">
        <v>31</v>
      </c>
      <c r="M37" s="4">
        <v>46097</v>
      </c>
      <c r="N37" s="3">
        <v>4</v>
      </c>
      <c r="O37" s="5">
        <v>69999</v>
      </c>
      <c r="P37" s="3">
        <v>12</v>
      </c>
      <c r="Q37" s="5">
        <v>279996</v>
      </c>
      <c r="R37" s="5">
        <v>33599.519999999997</v>
      </c>
      <c r="S37" s="5">
        <v>246396.48</v>
      </c>
      <c r="T37" s="5">
        <v>73918.944000000003</v>
      </c>
      <c r="U37" s="3" t="s">
        <v>32</v>
      </c>
      <c r="V37" s="3" t="s">
        <v>52</v>
      </c>
      <c r="W37" s="3" t="s">
        <v>72</v>
      </c>
      <c r="Y37" s="6">
        <f ca="1"/>
        <v>20</v>
      </c>
    </row>
    <row r="38" spans="1:25" x14ac:dyDescent="0.25">
      <c r="A38" s="3" t="s">
        <v>119</v>
      </c>
      <c r="B38" s="3">
        <v>103</v>
      </c>
      <c r="C38" s="3" t="s">
        <v>46</v>
      </c>
      <c r="D38" s="3" t="s">
        <v>47</v>
      </c>
      <c r="E38" s="3" t="s">
        <v>26</v>
      </c>
      <c r="F38" s="3" t="s">
        <v>38</v>
      </c>
      <c r="G38" s="4">
        <v>45669</v>
      </c>
      <c r="H38" s="3">
        <v>23</v>
      </c>
      <c r="I38" s="3" t="s">
        <v>39</v>
      </c>
      <c r="J38" s="3" t="s">
        <v>40</v>
      </c>
      <c r="K38" s="3" t="s">
        <v>41</v>
      </c>
      <c r="L38" s="3" t="s">
        <v>31</v>
      </c>
      <c r="M38" s="4">
        <v>46099</v>
      </c>
      <c r="N38" s="3">
        <v>1</v>
      </c>
      <c r="O38" s="5">
        <v>30999</v>
      </c>
      <c r="P38" s="3">
        <v>0</v>
      </c>
      <c r="Q38" s="5">
        <v>30999</v>
      </c>
      <c r="R38" s="5">
        <v>0</v>
      </c>
      <c r="S38" s="5">
        <v>30999</v>
      </c>
      <c r="T38" s="5">
        <v>3099.9</v>
      </c>
      <c r="U38" s="3" t="s">
        <v>42</v>
      </c>
      <c r="V38" s="3" t="s">
        <v>33</v>
      </c>
      <c r="W38" s="3" t="s">
        <v>34</v>
      </c>
      <c r="Y38" s="6">
        <f ca="1"/>
        <v>20</v>
      </c>
    </row>
    <row r="39" spans="1:25" x14ac:dyDescent="0.25">
      <c r="A39" s="3" t="s">
        <v>120</v>
      </c>
      <c r="B39" s="3">
        <v>104</v>
      </c>
      <c r="C39" s="3" t="s">
        <v>55</v>
      </c>
      <c r="D39" s="3" t="s">
        <v>56</v>
      </c>
      <c r="E39" s="3" t="s">
        <v>26</v>
      </c>
      <c r="F39" s="3" t="s">
        <v>38</v>
      </c>
      <c r="G39" s="4">
        <v>45672</v>
      </c>
      <c r="H39" s="3">
        <v>26</v>
      </c>
      <c r="I39" s="3" t="s">
        <v>48</v>
      </c>
      <c r="J39" s="3" t="s">
        <v>49</v>
      </c>
      <c r="K39" s="3" t="s">
        <v>50</v>
      </c>
      <c r="L39" s="3" t="s">
        <v>31</v>
      </c>
      <c r="M39" s="4">
        <v>46101</v>
      </c>
      <c r="N39" s="3">
        <v>2</v>
      </c>
      <c r="O39" s="5">
        <v>16999</v>
      </c>
      <c r="P39" s="3">
        <v>7</v>
      </c>
      <c r="Q39" s="5">
        <v>33998</v>
      </c>
      <c r="R39" s="5">
        <v>2379.86</v>
      </c>
      <c r="S39" s="5">
        <v>31618.14</v>
      </c>
      <c r="T39" s="5">
        <v>6323.6280000000006</v>
      </c>
      <c r="U39" s="3" t="s">
        <v>51</v>
      </c>
      <c r="V39" s="3" t="s">
        <v>43</v>
      </c>
      <c r="W39" s="3" t="s">
        <v>44</v>
      </c>
      <c r="Y39" s="6">
        <f ca="1"/>
        <v>19</v>
      </c>
    </row>
    <row r="40" spans="1:25" x14ac:dyDescent="0.25">
      <c r="A40" s="3" t="s">
        <v>121</v>
      </c>
      <c r="B40" s="3">
        <v>105</v>
      </c>
      <c r="C40" s="3" t="s">
        <v>63</v>
      </c>
      <c r="D40" s="3" t="s">
        <v>56</v>
      </c>
      <c r="E40" s="3" t="s">
        <v>64</v>
      </c>
      <c r="F40" s="3" t="s">
        <v>38</v>
      </c>
      <c r="G40" s="4">
        <v>45677</v>
      </c>
      <c r="H40" s="3">
        <v>22</v>
      </c>
      <c r="I40" s="3" t="s">
        <v>57</v>
      </c>
      <c r="J40" s="3" t="s">
        <v>58</v>
      </c>
      <c r="K40" s="3" t="s">
        <v>59</v>
      </c>
      <c r="L40" s="3" t="s">
        <v>31</v>
      </c>
      <c r="M40" s="4">
        <v>46103</v>
      </c>
      <c r="N40" s="3">
        <v>5</v>
      </c>
      <c r="O40" s="5">
        <v>27999</v>
      </c>
      <c r="P40" s="3">
        <v>10</v>
      </c>
      <c r="Q40" s="5">
        <v>139995</v>
      </c>
      <c r="R40" s="5">
        <v>13999.5</v>
      </c>
      <c r="S40" s="5">
        <v>125995.5</v>
      </c>
      <c r="T40" s="5">
        <v>31498.875</v>
      </c>
      <c r="U40" s="3" t="s">
        <v>60</v>
      </c>
      <c r="V40" s="3" t="s">
        <v>52</v>
      </c>
      <c r="W40" s="3" t="s">
        <v>53</v>
      </c>
      <c r="Y40" s="6">
        <f ca="1"/>
        <v>19</v>
      </c>
    </row>
    <row r="41" spans="1:25" x14ac:dyDescent="0.25">
      <c r="A41" s="3" t="s">
        <v>122</v>
      </c>
      <c r="B41" s="3">
        <v>106</v>
      </c>
      <c r="C41" s="3" t="s">
        <v>71</v>
      </c>
      <c r="D41" s="3" t="s">
        <v>56</v>
      </c>
      <c r="E41" s="3" t="s">
        <v>26</v>
      </c>
      <c r="F41" s="3" t="s">
        <v>38</v>
      </c>
      <c r="G41" s="4">
        <v>45679</v>
      </c>
      <c r="H41" s="3">
        <v>24</v>
      </c>
      <c r="I41" s="3" t="s">
        <v>65</v>
      </c>
      <c r="J41" s="3" t="s">
        <v>66</v>
      </c>
      <c r="K41" s="3" t="s">
        <v>41</v>
      </c>
      <c r="L41" s="3" t="s">
        <v>67</v>
      </c>
      <c r="M41" s="4">
        <v>46105</v>
      </c>
      <c r="N41" s="3">
        <v>1</v>
      </c>
      <c r="O41" s="5">
        <v>8999</v>
      </c>
      <c r="P41" s="3">
        <v>5</v>
      </c>
      <c r="Q41" s="5">
        <v>8999</v>
      </c>
      <c r="R41" s="5">
        <v>449.95</v>
      </c>
      <c r="S41" s="5">
        <v>8549.0499999999993</v>
      </c>
      <c r="T41" s="5">
        <v>2564.7150000000001</v>
      </c>
      <c r="U41" s="3" t="s">
        <v>68</v>
      </c>
      <c r="V41" s="3" t="s">
        <v>33</v>
      </c>
      <c r="W41" s="3" t="s">
        <v>61</v>
      </c>
      <c r="Y41" s="6">
        <f ca="1"/>
        <v>19</v>
      </c>
    </row>
    <row r="42" spans="1:25" x14ac:dyDescent="0.25">
      <c r="A42" s="3" t="s">
        <v>123</v>
      </c>
      <c r="B42" s="3">
        <v>107</v>
      </c>
      <c r="C42" s="3" t="s">
        <v>74</v>
      </c>
      <c r="D42" s="3" t="s">
        <v>25</v>
      </c>
      <c r="E42" s="3" t="s">
        <v>26</v>
      </c>
      <c r="F42" s="3" t="s">
        <v>27</v>
      </c>
      <c r="G42" s="4">
        <v>45682</v>
      </c>
      <c r="H42" s="3">
        <v>27</v>
      </c>
      <c r="I42" s="3" t="s">
        <v>28</v>
      </c>
      <c r="J42" s="3" t="s">
        <v>29</v>
      </c>
      <c r="K42" s="3" t="s">
        <v>30</v>
      </c>
      <c r="L42" s="3" t="s">
        <v>31</v>
      </c>
      <c r="M42" s="4">
        <v>46107</v>
      </c>
      <c r="N42" s="3">
        <v>1</v>
      </c>
      <c r="O42" s="5">
        <v>69999</v>
      </c>
      <c r="P42" s="3">
        <v>0</v>
      </c>
      <c r="Q42" s="5">
        <v>69999</v>
      </c>
      <c r="R42" s="5">
        <v>0</v>
      </c>
      <c r="S42" s="5">
        <v>69999</v>
      </c>
      <c r="T42" s="5">
        <v>6999.9000000000005</v>
      </c>
      <c r="U42" s="3" t="s">
        <v>32</v>
      </c>
      <c r="V42" s="3" t="s">
        <v>43</v>
      </c>
      <c r="W42" s="3" t="s">
        <v>69</v>
      </c>
      <c r="Y42" s="6">
        <f ca="1"/>
        <v>19</v>
      </c>
    </row>
    <row r="43" spans="1:25" x14ac:dyDescent="0.25">
      <c r="A43" s="3" t="s">
        <v>124</v>
      </c>
      <c r="B43" s="3">
        <v>108</v>
      </c>
      <c r="C43" s="3" t="s">
        <v>76</v>
      </c>
      <c r="D43" s="3" t="s">
        <v>47</v>
      </c>
      <c r="E43" s="3" t="s">
        <v>37</v>
      </c>
      <c r="F43" s="3" t="s">
        <v>27</v>
      </c>
      <c r="G43" s="4">
        <v>45685</v>
      </c>
      <c r="H43" s="3">
        <v>21</v>
      </c>
      <c r="I43" s="3" t="s">
        <v>39</v>
      </c>
      <c r="J43" s="3" t="s">
        <v>40</v>
      </c>
      <c r="K43" s="3" t="s">
        <v>41</v>
      </c>
      <c r="L43" s="3" t="s">
        <v>31</v>
      </c>
      <c r="M43" s="4">
        <v>46109</v>
      </c>
      <c r="N43" s="3">
        <v>2</v>
      </c>
      <c r="O43" s="5">
        <v>30999</v>
      </c>
      <c r="P43" s="3">
        <v>5</v>
      </c>
      <c r="Q43" s="5">
        <v>61998</v>
      </c>
      <c r="R43" s="5">
        <v>3099.9</v>
      </c>
      <c r="S43" s="5">
        <v>58898.1</v>
      </c>
      <c r="T43" s="5">
        <v>11779.62</v>
      </c>
      <c r="U43" s="3" t="s">
        <v>42</v>
      </c>
      <c r="V43" s="3" t="s">
        <v>52</v>
      </c>
      <c r="W43" s="3" t="s">
        <v>72</v>
      </c>
      <c r="Y43" s="6">
        <f ca="1"/>
        <v>19</v>
      </c>
    </row>
    <row r="44" spans="1:25" x14ac:dyDescent="0.25">
      <c r="A44" s="3" t="s">
        <v>125</v>
      </c>
      <c r="B44" s="3">
        <v>109</v>
      </c>
      <c r="C44" s="3" t="s">
        <v>78</v>
      </c>
      <c r="D44" s="3" t="s">
        <v>79</v>
      </c>
      <c r="E44" s="3" t="s">
        <v>64</v>
      </c>
      <c r="F44" s="3" t="s">
        <v>27</v>
      </c>
      <c r="G44" s="4">
        <v>45690</v>
      </c>
      <c r="H44" s="3">
        <v>26</v>
      </c>
      <c r="I44" s="3" t="s">
        <v>48</v>
      </c>
      <c r="J44" s="3" t="s">
        <v>49</v>
      </c>
      <c r="K44" s="3" t="s">
        <v>50</v>
      </c>
      <c r="L44" s="3" t="s">
        <v>31</v>
      </c>
      <c r="M44" s="4">
        <v>46111</v>
      </c>
      <c r="N44" s="3">
        <v>1</v>
      </c>
      <c r="O44" s="5">
        <v>16999</v>
      </c>
      <c r="P44" s="3">
        <v>10</v>
      </c>
      <c r="Q44" s="5">
        <v>16999</v>
      </c>
      <c r="R44" s="5">
        <v>1699.9</v>
      </c>
      <c r="S44" s="5">
        <v>15299.1</v>
      </c>
      <c r="T44" s="5">
        <v>3824.7750000000001</v>
      </c>
      <c r="U44" s="3" t="s">
        <v>51</v>
      </c>
      <c r="V44" s="3" t="s">
        <v>33</v>
      </c>
      <c r="W44" s="3" t="s">
        <v>34</v>
      </c>
      <c r="Y44" s="6">
        <f ca="1"/>
        <v>19</v>
      </c>
    </row>
    <row r="45" spans="1:25" x14ac:dyDescent="0.25">
      <c r="A45" s="3" t="s">
        <v>126</v>
      </c>
      <c r="B45" s="3">
        <v>110</v>
      </c>
      <c r="C45" s="3" t="s">
        <v>81</v>
      </c>
      <c r="D45" s="3" t="s">
        <v>82</v>
      </c>
      <c r="E45" s="3" t="s">
        <v>26</v>
      </c>
      <c r="F45" s="3" t="s">
        <v>38</v>
      </c>
      <c r="G45" s="4">
        <v>45693</v>
      </c>
      <c r="H45" s="3">
        <v>25</v>
      </c>
      <c r="I45" s="3" t="s">
        <v>57</v>
      </c>
      <c r="J45" s="3" t="s">
        <v>58</v>
      </c>
      <c r="K45" s="3" t="s">
        <v>59</v>
      </c>
      <c r="L45" s="3" t="s">
        <v>31</v>
      </c>
      <c r="M45" s="4">
        <v>46113</v>
      </c>
      <c r="N45" s="3">
        <v>3</v>
      </c>
      <c r="O45" s="5">
        <v>27999</v>
      </c>
      <c r="P45" s="3">
        <v>5</v>
      </c>
      <c r="Q45" s="5">
        <v>83997</v>
      </c>
      <c r="R45" s="5">
        <v>4199.8500000000004</v>
      </c>
      <c r="S45" s="5">
        <v>79797.149999999994</v>
      </c>
      <c r="T45" s="5">
        <v>23939.145</v>
      </c>
      <c r="U45" s="3" t="s">
        <v>60</v>
      </c>
      <c r="V45" s="3" t="s">
        <v>43</v>
      </c>
      <c r="W45" s="3" t="s">
        <v>44</v>
      </c>
      <c r="Y45" s="6">
        <f ca="1"/>
        <v>19</v>
      </c>
    </row>
    <row r="46" spans="1:25" x14ac:dyDescent="0.25">
      <c r="A46" s="3" t="s">
        <v>127</v>
      </c>
      <c r="B46" s="3">
        <v>111</v>
      </c>
      <c r="C46" s="3" t="s">
        <v>84</v>
      </c>
      <c r="D46" s="3" t="s">
        <v>79</v>
      </c>
      <c r="E46" s="3" t="s">
        <v>37</v>
      </c>
      <c r="F46" s="3" t="s">
        <v>38</v>
      </c>
      <c r="G46" s="4">
        <v>45696</v>
      </c>
      <c r="H46" s="3">
        <v>27</v>
      </c>
      <c r="I46" s="3" t="s">
        <v>65</v>
      </c>
      <c r="J46" s="3" t="s">
        <v>66</v>
      </c>
      <c r="K46" s="3" t="s">
        <v>41</v>
      </c>
      <c r="L46" s="3" t="s">
        <v>67</v>
      </c>
      <c r="M46" s="4">
        <v>46115</v>
      </c>
      <c r="N46" s="3">
        <v>2</v>
      </c>
      <c r="O46" s="5">
        <v>8999</v>
      </c>
      <c r="P46" s="3">
        <v>8</v>
      </c>
      <c r="Q46" s="5">
        <v>17998</v>
      </c>
      <c r="R46" s="5">
        <v>1439.84</v>
      </c>
      <c r="S46" s="5">
        <v>16558.16</v>
      </c>
      <c r="T46" s="5">
        <v>1655.816</v>
      </c>
      <c r="U46" s="3" t="s">
        <v>68</v>
      </c>
      <c r="V46" s="3" t="s">
        <v>52</v>
      </c>
      <c r="W46" s="3" t="s">
        <v>53</v>
      </c>
      <c r="Y46" s="6">
        <f ca="1"/>
        <v>19</v>
      </c>
    </row>
    <row r="47" spans="1:25" x14ac:dyDescent="0.25">
      <c r="A47" s="3" t="s">
        <v>128</v>
      </c>
      <c r="B47" s="3">
        <v>112</v>
      </c>
      <c r="C47" s="3" t="s">
        <v>86</v>
      </c>
      <c r="D47" s="3" t="s">
        <v>87</v>
      </c>
      <c r="E47" s="3" t="s">
        <v>88</v>
      </c>
      <c r="F47" s="3" t="s">
        <v>38</v>
      </c>
      <c r="G47" s="4">
        <v>45700</v>
      </c>
      <c r="H47" s="3">
        <v>28</v>
      </c>
      <c r="I47" s="3" t="s">
        <v>28</v>
      </c>
      <c r="J47" s="3" t="s">
        <v>29</v>
      </c>
      <c r="K47" s="3" t="s">
        <v>30</v>
      </c>
      <c r="L47" s="3" t="s">
        <v>31</v>
      </c>
      <c r="M47" s="4">
        <v>46117</v>
      </c>
      <c r="N47" s="3">
        <v>4</v>
      </c>
      <c r="O47" s="5">
        <v>69999</v>
      </c>
      <c r="P47" s="3">
        <v>12</v>
      </c>
      <c r="Q47" s="5">
        <v>279996</v>
      </c>
      <c r="R47" s="5">
        <v>33599.519999999997</v>
      </c>
      <c r="S47" s="5">
        <v>246396.48</v>
      </c>
      <c r="T47" s="5">
        <v>49279.296000000002</v>
      </c>
      <c r="U47" s="3" t="s">
        <v>32</v>
      </c>
      <c r="V47" s="3" t="s">
        <v>33</v>
      </c>
      <c r="W47" s="3" t="s">
        <v>61</v>
      </c>
      <c r="Y47" s="6">
        <f ca="1"/>
        <v>19</v>
      </c>
    </row>
    <row r="48" spans="1:25" x14ac:dyDescent="0.25">
      <c r="A48" s="3" t="s">
        <v>129</v>
      </c>
      <c r="B48" s="3">
        <v>113</v>
      </c>
      <c r="C48" s="3" t="s">
        <v>90</v>
      </c>
      <c r="D48" s="3" t="s">
        <v>91</v>
      </c>
      <c r="E48" s="3" t="s">
        <v>26</v>
      </c>
      <c r="F48" s="3" t="s">
        <v>38</v>
      </c>
      <c r="G48" s="4">
        <v>45703</v>
      </c>
      <c r="H48" s="3">
        <v>20</v>
      </c>
      <c r="I48" s="3" t="s">
        <v>39</v>
      </c>
      <c r="J48" s="3" t="s">
        <v>40</v>
      </c>
      <c r="K48" s="3" t="s">
        <v>41</v>
      </c>
      <c r="L48" s="3" t="s">
        <v>31</v>
      </c>
      <c r="M48" s="4">
        <v>46119</v>
      </c>
      <c r="N48" s="3">
        <v>1</v>
      </c>
      <c r="O48" s="5">
        <v>30999</v>
      </c>
      <c r="P48" s="3">
        <v>0</v>
      </c>
      <c r="Q48" s="5">
        <v>30999</v>
      </c>
      <c r="R48" s="5">
        <v>0</v>
      </c>
      <c r="S48" s="5">
        <v>30999</v>
      </c>
      <c r="T48" s="5">
        <v>7749.75</v>
      </c>
      <c r="U48" s="3" t="s">
        <v>42</v>
      </c>
      <c r="V48" s="3" t="s">
        <v>43</v>
      </c>
      <c r="W48" s="3" t="s">
        <v>69</v>
      </c>
      <c r="Y48" s="6">
        <f ca="1"/>
        <v>18</v>
      </c>
    </row>
    <row r="49" spans="1:25" x14ac:dyDescent="0.25">
      <c r="A49" s="3" t="s">
        <v>130</v>
      </c>
      <c r="B49" s="3">
        <v>114</v>
      </c>
      <c r="C49" s="3" t="s">
        <v>93</v>
      </c>
      <c r="D49" s="3" t="s">
        <v>91</v>
      </c>
      <c r="E49" s="3" t="s">
        <v>26</v>
      </c>
      <c r="F49" s="3" t="s">
        <v>38</v>
      </c>
      <c r="G49" s="4">
        <v>45706</v>
      </c>
      <c r="H49" s="3">
        <v>22</v>
      </c>
      <c r="I49" s="3" t="s">
        <v>48</v>
      </c>
      <c r="J49" s="3" t="s">
        <v>49</v>
      </c>
      <c r="K49" s="3" t="s">
        <v>50</v>
      </c>
      <c r="L49" s="3" t="s">
        <v>31</v>
      </c>
      <c r="M49" s="4">
        <v>46121</v>
      </c>
      <c r="N49" s="3">
        <v>2</v>
      </c>
      <c r="O49" s="5">
        <v>16999</v>
      </c>
      <c r="P49" s="3">
        <v>7</v>
      </c>
      <c r="Q49" s="5">
        <v>33998</v>
      </c>
      <c r="R49" s="5">
        <v>2379.86</v>
      </c>
      <c r="S49" s="5">
        <v>31618.14</v>
      </c>
      <c r="T49" s="5">
        <v>9485.4419999999991</v>
      </c>
      <c r="U49" s="3" t="s">
        <v>51</v>
      </c>
      <c r="V49" s="3" t="s">
        <v>52</v>
      </c>
      <c r="W49" s="3" t="s">
        <v>72</v>
      </c>
      <c r="Y49" s="6">
        <f ca="1"/>
        <v>18</v>
      </c>
    </row>
    <row r="50" spans="1:25" x14ac:dyDescent="0.25">
      <c r="A50" s="3" t="s">
        <v>131</v>
      </c>
      <c r="B50" s="3">
        <v>115</v>
      </c>
      <c r="C50" s="3" t="s">
        <v>95</v>
      </c>
      <c r="D50" s="3" t="s">
        <v>82</v>
      </c>
      <c r="E50" s="3" t="s">
        <v>37</v>
      </c>
      <c r="F50" s="3" t="s">
        <v>27</v>
      </c>
      <c r="G50" s="4">
        <v>45708</v>
      </c>
      <c r="H50" s="3">
        <v>24</v>
      </c>
      <c r="I50" s="3" t="s">
        <v>57</v>
      </c>
      <c r="J50" s="3" t="s">
        <v>58</v>
      </c>
      <c r="K50" s="3" t="s">
        <v>59</v>
      </c>
      <c r="L50" s="3" t="s">
        <v>31</v>
      </c>
      <c r="M50" s="4">
        <v>46123</v>
      </c>
      <c r="N50" s="3">
        <v>5</v>
      </c>
      <c r="O50" s="5">
        <v>27999</v>
      </c>
      <c r="P50" s="3">
        <v>10</v>
      </c>
      <c r="Q50" s="5">
        <v>139995</v>
      </c>
      <c r="R50" s="5">
        <v>13999.5</v>
      </c>
      <c r="S50" s="5">
        <v>125995.5</v>
      </c>
      <c r="T50" s="5">
        <v>12599.55</v>
      </c>
      <c r="U50" s="3" t="s">
        <v>60</v>
      </c>
      <c r="V50" s="3" t="s">
        <v>33</v>
      </c>
      <c r="W50" s="3" t="s">
        <v>34</v>
      </c>
      <c r="Y50" s="6">
        <f ca="1"/>
        <v>18</v>
      </c>
    </row>
    <row r="51" spans="1:25" x14ac:dyDescent="0.25">
      <c r="A51" s="3" t="s">
        <v>132</v>
      </c>
      <c r="B51" s="3">
        <v>116</v>
      </c>
      <c r="C51" s="3" t="s">
        <v>97</v>
      </c>
      <c r="D51" s="3" t="s">
        <v>82</v>
      </c>
      <c r="E51" s="3" t="s">
        <v>64</v>
      </c>
      <c r="F51" s="3" t="s">
        <v>27</v>
      </c>
      <c r="G51" s="4">
        <v>45710</v>
      </c>
      <c r="H51" s="3">
        <v>23</v>
      </c>
      <c r="I51" s="3" t="s">
        <v>65</v>
      </c>
      <c r="J51" s="3" t="s">
        <v>66</v>
      </c>
      <c r="K51" s="3" t="s">
        <v>41</v>
      </c>
      <c r="L51" s="3" t="s">
        <v>67</v>
      </c>
      <c r="M51" s="4">
        <v>46125</v>
      </c>
      <c r="N51" s="3">
        <v>1</v>
      </c>
      <c r="O51" s="5">
        <v>8999</v>
      </c>
      <c r="P51" s="3">
        <v>5</v>
      </c>
      <c r="Q51" s="5">
        <v>8999</v>
      </c>
      <c r="R51" s="5">
        <v>449.95</v>
      </c>
      <c r="S51" s="5">
        <v>8549.0499999999993</v>
      </c>
      <c r="T51" s="5">
        <v>1709.81</v>
      </c>
      <c r="U51" s="3" t="s">
        <v>68</v>
      </c>
      <c r="V51" s="3" t="s">
        <v>43</v>
      </c>
      <c r="W51" s="3" t="s">
        <v>44</v>
      </c>
      <c r="Y51" s="6">
        <f ca="1"/>
        <v>18</v>
      </c>
    </row>
  </sheetData>
  <mergeCells count="1">
    <mergeCell ref="Y1:A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Mobile Shop Data</vt:lpstr>
      <vt:lpstr>TASK 1</vt:lpstr>
      <vt:lpstr>TASK 2</vt:lpstr>
      <vt:lpstr>TASK 3</vt:lpstr>
      <vt:lpstr>TASK 4</vt:lpstr>
      <vt:lpstr>TASK 5</vt:lpstr>
      <vt:lpstr>TASK 6</vt:lpstr>
      <vt:lpstr>TASK 7</vt:lpstr>
      <vt:lpstr>TASK 8</vt:lpstr>
      <vt:lpstr>TASK 9</vt:lpstr>
      <vt:lpstr>TASK 10</vt:lpstr>
      <vt:lpstr>TASK 11 &amp; 13</vt:lpstr>
      <vt:lpstr>TASK 12</vt:lpstr>
      <vt:lpstr>TASK 14</vt:lpstr>
      <vt:lpstr>TASK 15 &amp; 16 &amp; 17</vt:lpstr>
      <vt:lpstr>TASK 18</vt:lpstr>
      <vt:lpstr>TASK 19</vt:lpstr>
      <vt:lpstr>TASK 20</vt:lpstr>
      <vt:lpstr>TASK 21</vt:lpstr>
      <vt:lpstr>TASK 22</vt:lpstr>
      <vt:lpstr>TASK 23 &amp; 24 &amp; 29</vt:lpstr>
      <vt:lpstr>TASK 25 &amp; 26 &amp; 27 &amp; 28</vt:lpstr>
      <vt:lpstr>TASK 30</vt:lpstr>
      <vt:lpstr>TASK 31</vt:lpstr>
      <vt:lpstr>TASK 32</vt:lpstr>
      <vt:lpstr>TASK 33</vt:lpstr>
      <vt:lpstr>TASK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2026-09-09T07:50:20Z</dcterms:created>
  <dcterms:modified xsi:type="dcterms:W3CDTF">2026-09-12T16:50:05Z</dcterms:modified>
</cp:coreProperties>
</file>